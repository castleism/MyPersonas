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d0f700032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e54d3cb320540da"/>
    <x:sheet xmlns:r="http://schemas.openxmlformats.org/officeDocument/2006/relationships" name="Weekly Data" sheetId="2" r:id="R2a534ceff64a44f1"/>
    <x:sheet xmlns:r="http://schemas.openxmlformats.org/officeDocument/2006/relationships" name="Content Queue" sheetId="3" r:id="Rab6eccc692e94fae"/>
    <x:sheet xmlns:r="http://schemas.openxmlformats.org/officeDocument/2006/relationships" name="Experiments" sheetId="4" r:id="R5ff18bb22ae94b3e"/>
    <x:sheet xmlns:r="http://schemas.openxmlformats.org/officeDocument/2006/relationships" name="Risk Register" sheetId="5" r:id="Ra952ac6208754f95"/>
    <x:sheet xmlns:r="http://schemas.openxmlformats.org/officeDocument/2006/relationships" name="Forecast" sheetId="6" r:id="R22d47394628f466d"/>
    <x:sheet xmlns:r="http://schemas.openxmlformats.org/officeDocument/2006/relationships" name="Owner Decisions" sheetId="7" r:id="R2780807d45a842a2"/>
    <x:sheet xmlns:r="http://schemas.openxmlformats.org/officeDocument/2006/relationships" name="Sources" sheetId="8" r:id="Rf83dd2b175a1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"/>
    <x:numFmt numFmtId="202" formatCode="0"/>
    <x:numFmt numFmtId="203" formatCode="0.00%"/>
    <x:numFmt numFmtId="204" formatCode="0.00"/>
    <x:numFmt numFmtId="205" formatCode="0.0"/>
    <x:numFmt numFmtId="206" formatCode="&quot;$&quot;#,##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5332D"/>
      <x:name val="Carlito"/>
    </x:font>
    <x:font>
      <x:b/>
      <x:sz val="10"/>
      <x:color rgb="FFFFFFFF"/>
      <x:name val="Carlito"/>
    </x:font>
    <x:font>
      <x:b/>
      <x:sz val="11"/>
      <x:color rgb="FF25332D"/>
      <x:name val="Carlito"/>
    </x:font>
    <x:font>
      <x:sz val="11"/>
      <x:color rgb="FF25332D"/>
      <x:name val="Carlito"/>
    </x:font>
    <x:font>
      <x:sz val="9"/>
      <x:color rgb="FF25332D"/>
      <x:name val="Carlito"/>
    </x:font>
    <x:font>
      <x:b/>
      <x:sz val="18"/>
      <x:color rgb="FF25332D"/>
      <x:name val="Carlito"/>
    </x:font>
    <x:font>
      <x:b/>
      <x:sz val="10"/>
      <x:color rgb="FF2533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DCE9DF"/>
      </x:patternFill>
    </x:fill>
    <x:fill>
      <x:patternFill patternType="solid">
        <x:fgColor rgb="FF28584A"/>
      </x:patternFill>
    </x:fill>
    <x:fill>
      <x:patternFill patternType="solid">
        <x:fgColor rgb="FFF8F4EA"/>
      </x:patternFill>
    </x:fill>
    <x:fill>
      <x:patternFill patternType="solid">
        <x:fgColor rgb="FFFFF2CC"/>
      </x:patternFill>
    </x:fill>
  </x:fills>
  <x:borders count="21">
    <x:border/>
    <x:border>
      <x:left style="thin">
        <x:color rgb="FF173F35"/>
      </x:left>
      <x:top style="thin">
        <x:color rgb="FF173F35"/>
      </x:top>
      <x:bottom style="thin">
        <x:color rgb="FF173F35"/>
      </x:bottom>
    </x:border>
    <x:border>
      <x:right style="thin">
        <x:color rgb="FF173F35"/>
      </x:right>
      <x:top style="thin">
        <x:color rgb="FF173F35"/>
      </x:top>
      <x:bottom style="thin">
        <x:color rgb="FF173F35"/>
      </x:bottom>
    </x:border>
    <x:border>
      <x:left style="thin">
        <x:color rgb="FFD7DDD9"/>
      </x:left>
      <x:right style="thin">
        <x:color rgb="FFD7DDD9"/>
      </x:right>
      <x:top style="thin">
        <x:color rgb="FFD7DDD9"/>
      </x:top>
    </x:border>
    <x:border>
      <x:left style="thin">
        <x:color rgb="FFD7DDD9"/>
      </x:left>
      <x:right style="thin">
        <x:color rgb="FFD7DDD9"/>
      </x:right>
    </x:border>
    <x:border>
      <x:left style="thin">
        <x:color rgb="FFD7DDD9"/>
      </x:left>
      <x:right style="thin">
        <x:color rgb="FFD7DDD9"/>
      </x:right>
      <x:bottom style="thin">
        <x:color rgb="FFD7DDD9"/>
      </x:bottom>
    </x:border>
    <x:border>
      <x:left style="thin">
        <x:color rgb="FFD7DDD9"/>
      </x:left>
      <x:top style="thin">
        <x:color rgb="FFD7DDD9"/>
      </x:top>
      <x:bottom style="thin">
        <x:color rgb="FF173F35"/>
      </x:bottom>
    </x:border>
    <x:border>
      <x:right style="thin">
        <x:color rgb="FFD7DDD9"/>
      </x:right>
      <x:top style="thin">
        <x:color rgb="FFD7DDD9"/>
      </x:top>
      <x:bottom style="thin">
        <x:color rgb="FF173F35"/>
      </x:bottom>
    </x:border>
    <x:border>
      <x:left style="thin">
        <x:color rgb="FFD7DDD9"/>
      </x:left>
    </x:border>
    <x:border>
      <x:right style="thin">
        <x:color rgb="FFD7DDD9"/>
      </x:right>
    </x:border>
    <x:border>
      <x:left style="thin">
        <x:color rgb="FFD7DDD9"/>
      </x:left>
      <x:bottom style="thin">
        <x:color rgb="FFD7DDD9"/>
      </x:bottom>
    </x:border>
    <x:border>
      <x:right style="thin">
        <x:color rgb="FFD7DDD9"/>
      </x:right>
      <x:bottom style="thin">
        <x:color rgb="FFD7DDD9"/>
      </x:bottom>
    </x:border>
    <x:border>
      <x:top style="thin">
        <x:color rgb="FF173F35"/>
      </x:top>
      <x:bottom style="thin">
        <x:color rgb="FF173F35"/>
      </x:bottom>
    </x:border>
    <x:border>
      <x:bottom style="thin">
        <x:color rgb="FFD7DDD9"/>
      </x:bottom>
    </x:border>
    <x:border>
      <x:top style="thin">
        <x:color rgb="FFD7DDD9"/>
      </x:top>
      <x:bottom style="thin">
        <x:color rgb="FFD7DDD9"/>
      </x:bottom>
    </x:border>
    <x:border>
      <x:top style="thin">
        <x:color rgb="FFD7DDD9"/>
      </x:top>
    </x:border>
    <x:border>
      <x:left style="thin">
        <x:color rgb="FFD7DDD9"/>
      </x:left>
      <x:top style="thin">
        <x:color rgb="FFD7DDD9"/>
      </x:top>
    </x:border>
    <x:border>
      <x:right style="thin">
        <x:color rgb="FFD7DDD9"/>
      </x:right>
      <x:top style="thin">
        <x:color rgb="FFD7DDD9"/>
      </x:top>
    </x:border>
    <x:border>
      <x:left style="thin">
        <x:color rgb="FFD7DDD9"/>
      </x:left>
      <x:top style="thin">
        <x:color rgb="FF173F35"/>
      </x:top>
      <x:bottom style="thin">
        <x:color rgb="FF173F35"/>
      </x:bottom>
    </x:border>
    <x:border>
      <x:right style="thin">
        <x:color rgb="FFD7DDD9"/>
      </x:right>
      <x:top style="thin">
        <x:color rgb="FF173F35"/>
      </x:top>
      <x:bottom style="thin">
        <x:color rgb="FF173F35"/>
      </x:bottom>
    </x:border>
    <x:border>
      <x:left style="thin">
        <x:color rgb="FFD7DDD9"/>
      </x:left>
      <x:right style="thin">
        <x:color rgb="FFD7DDD9"/>
      </x:right>
      <x:top style="thin">
        <x:color rgb="FFD7DDD9"/>
      </x:top>
      <x:bottom style="thin">
        <x:color rgb="FFD7DDD9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200" fontId="5" fillId="6" borderId="3" xfId="0" applyNumberFormat="1" applyFont="1" applyFill="1" applyBorder="1"/>
    <x:xf numFmtId="201" fontId="5" fillId="6" borderId="4" xfId="0" applyNumberFormat="1" applyFont="1" applyFill="1" applyBorder="1"/>
    <x:xf numFmtId="201" fontId="5" fillId="6" borderId="5" xfId="0" applyNumberFormat="1" applyFont="1" applyFill="1" applyBorder="1"/>
    <x:xf numFmtId="201" fontId="0" fillId="0" borderId="0" xfId="0" applyNumberFormat="1" applyFont="1" applyFill="1" applyBorder="1"/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/>
    <x:xf numFmtId="201" fontId="0" fillId="0" borderId="9" xfId="0" applyNumberFormat="1" applyFont="1" applyFill="1" applyBorder="1"/>
    <x:xf numFmtId="0" fontId="4" fillId="5" borderId="10" xfId="0" applyNumberFormat="1" applyFont="1" applyFill="1" applyBorder="1"/>
    <x:xf numFmtId="201" fontId="0" fillId="0" borderId="11" xfId="0" applyNumberFormat="1" applyFont="1" applyFill="1" applyBorder="1"/>
    <x:xf numFmtId="0" fontId="0" fillId="0" borderId="9" xfId="0" applyNumberFormat="1" applyFont="1" applyFill="1" applyBorder="1"/>
    <x:xf numFmtId="0" fontId="0" fillId="0" borderId="11" xfId="0" applyNumberFormat="1" applyFont="1" applyFill="1" applyBorder="1"/>
    <x:xf numFmtId="0" fontId="4" fillId="6" borderId="0" xfId="0" applyNumberFormat="1" applyFont="1" applyFill="1" applyBorder="1"/>
    <x:xf numFmtId="0" fontId="4" fillId="6" borderId="9" xfId="0" applyNumberFormat="1" applyFont="1" applyFill="1" applyBorder="1"/>
    <x:xf numFmtId="0" fontId="4" fillId="6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2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2" fontId="0" fillId="0" borderId="13" xfId="0" applyNumberFormat="1" applyFont="1" applyFill="1" applyBorder="1"/>
    <x:xf numFmtId="202" fontId="0" fillId="0" borderId="14" xfId="0" applyNumberFormat="1" applyFont="1" applyFill="1" applyBorder="1"/>
    <x:xf numFmtId="202" fontId="0" fillId="0" borderId="15" xfId="0" applyNumberFormat="1" applyFont="1" applyFill="1" applyBorder="1"/>
    <x:xf numFmtId="203" fontId="0" fillId="0" borderId="13" xfId="0" applyNumberFormat="1" applyFont="1" applyFill="1" applyBorder="1"/>
    <x:xf numFmtId="203" fontId="0" fillId="0" borderId="14" xfId="0" applyNumberFormat="1" applyFont="1" applyFill="1" applyBorder="1"/>
    <x:xf numFmtId="203" fontId="0" fillId="0" borderId="15" xfId="0" applyNumberFormat="1" applyFont="1" applyFill="1" applyBorder="1"/>
    <x:xf numFmtId="201" fontId="0" fillId="0" borderId="13" xfId="0" applyNumberFormat="1" applyFont="1" applyFill="1" applyBorder="1"/>
    <x:xf numFmtId="201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6" fillId="0" borderId="0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3" xfId="0" applyNumberFormat="1" applyFont="1" applyFill="1" applyBorder="1" applyAlignment="1">
      <x:alignment vertical="top"/>
    </x:xf>
    <x:xf numFmtId="0" fontId="6" fillId="0" borderId="14" xfId="0" applyNumberFormat="1" applyFont="1" applyFill="1" applyBorder="1" applyAlignment="1">
      <x:alignment vertical="top"/>
    </x:xf>
    <x:xf numFmtId="0" fontId="6" fillId="0" borderId="15" xfId="0" applyNumberFormat="1" applyFont="1" applyFill="1" applyBorder="1" applyAlignment="1">
      <x:alignment vertical="top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3" xfId="0" applyNumberFormat="1" applyFont="1" applyFill="1" applyBorder="1"/>
    <x:xf numFmtId="200" fontId="6" fillId="0" borderId="14" xfId="0" applyNumberFormat="1" applyFont="1" applyFill="1" applyBorder="1"/>
    <x:xf numFmtId="200" fontId="6" fillId="0" borderId="15" xfId="0" applyNumberFormat="1" applyFont="1" applyFill="1" applyBorder="1"/>
    <x:xf numFmtId="200" fontId="6" fillId="0" borderId="13" xfId="0" applyNumberFormat="1" applyFont="1" applyFill="1" applyBorder="1" applyAlignment="1">
      <x:alignment vertical="top"/>
    </x:xf>
    <x:xf numFmtId="200" fontId="6" fillId="0" borderId="14" xfId="0" applyNumberFormat="1" applyFont="1" applyFill="1" applyBorder="1" applyAlignment="1">
      <x:alignment vertical="top"/>
    </x:xf>
    <x:xf numFmtId="200" fontId="6" fillId="0" borderId="15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horizontal="left" vertical="center"/>
    </x:xf>
    <x:xf numFmtId="0" fontId="2" fillId="6" borderId="0" xfId="0" applyNumberFormat="1" applyFont="1" applyFill="1" applyBorder="1" applyAlignment="1">
      <x:alignment vertical="center" wrapText="1"/>
    </x:xf>
    <x:xf numFmtId="0" fontId="3" fillId="6" borderId="12" xfId="0" applyNumberFormat="1" applyFont="1" applyFill="1" applyBorder="1" applyAlignment="1">
      <x:alignment horizontal="center" vertical="center" wrapText="1"/>
    </x:xf>
    <x:xf numFmtId="0" fontId="6" fillId="6" borderId="13" xfId="0" applyNumberFormat="1" applyFont="1" applyFill="1" applyBorder="1" applyAlignment="1">
      <x:alignment vertical="top"/>
    </x:xf>
    <x:xf numFmtId="0" fontId="7" fillId="6" borderId="0" xfId="0" applyNumberFormat="1" applyFont="1" applyFill="1" applyBorder="1" applyAlignment="1">
      <x:alignment horizontal="left" vertical="center"/>
    </x:xf>
    <x:xf numFmtId="0" fontId="8" fillId="6" borderId="12" xfId="0" applyNumberFormat="1" applyFont="1" applyFill="1" applyBorder="1" applyAlignment="1">
      <x:alignment horizontal="center" vertical="center" wrapText="1"/>
    </x:xf>
    <x:xf numFmtId="0" fontId="7" fillId="6" borderId="16" xfId="0" applyNumberFormat="1" applyFont="1" applyFill="1" applyBorder="1" applyAlignment="1">
      <x:alignment horizontal="left" vertical="center"/>
    </x:xf>
    <x:xf numFmtId="0" fontId="7" fillId="6" borderId="15" xfId="0" applyNumberFormat="1" applyFont="1" applyFill="1" applyBorder="1" applyAlignment="1">
      <x:alignment horizontal="left" vertical="center"/>
    </x:xf>
    <x:xf numFmtId="0" fontId="7" fillId="6" borderId="17" xfId="0" applyNumberFormat="1" applyFont="1" applyFill="1" applyBorder="1" applyAlignment="1">
      <x:alignment horizontal="left" vertical="center"/>
    </x:xf>
    <x:xf numFmtId="0" fontId="2" fillId="6" borderId="8" xfId="0" applyNumberFormat="1" applyFont="1" applyFill="1" applyBorder="1" applyAlignment="1">
      <x:alignment vertical="center" wrapText="1"/>
    </x:xf>
    <x:xf numFmtId="0" fontId="2" fillId="6" borderId="9" xfId="0" applyNumberFormat="1" applyFont="1" applyFill="1" applyBorder="1" applyAlignment="1">
      <x:alignment vertical="center" wrapText="1"/>
    </x:xf>
    <x:xf numFmtId="0" fontId="8" fillId="6" borderId="18" xfId="0" applyNumberFormat="1" applyFont="1" applyFill="1" applyBorder="1" applyAlignment="1">
      <x:alignment horizontal="center" vertical="center" wrapText="1"/>
    </x:xf>
    <x:xf numFmtId="0" fontId="8" fillId="6" borderId="19" xfId="0" applyNumberFormat="1" applyFont="1" applyFill="1" applyBorder="1" applyAlignment="1">
      <x:alignment horizontal="center" vertical="center" wrapText="1"/>
    </x:xf>
    <x:xf numFmtId="0" fontId="6" fillId="6" borderId="10" xfId="0" applyNumberFormat="1" applyFont="1" applyFill="1" applyBorder="1" applyAlignment="1">
      <x:alignment vertical="top"/>
    </x:xf>
    <x:xf numFmtId="0" fontId="6" fillId="6" borderId="11" xfId="0" applyNumberFormat="1" applyFont="1" applyFill="1" applyBorder="1" applyAlignment="1">
      <x:alignment vertical="top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201" fontId="6" fillId="6" borderId="10" xfId="0" applyNumberFormat="1" applyFont="1" applyFill="1" applyBorder="1" applyAlignment="1">
      <x:alignment vertical="top"/>
    </x:xf>
    <x:xf numFmtId="201" fontId="6" fillId="6" borderId="13" xfId="0" applyNumberFormat="1" applyFont="1" applyFill="1" applyBorder="1" applyAlignment="1">
      <x:alignment vertical="top"/>
    </x:xf>
    <x:xf numFmtId="201" fontId="6" fillId="6" borderId="11" xfId="0" applyNumberFormat="1" applyFont="1" applyFill="1" applyBorder="1" applyAlignment="1">
      <x:alignment vertical="top"/>
    </x:xf>
    <x:xf numFmtId="201" fontId="6" fillId="0" borderId="14" xfId="0" applyNumberFormat="1" applyFont="1" applyFill="1" applyBorder="1" applyAlignment="1">
      <x:alignment vertical="top"/>
    </x:xf>
    <x:xf numFmtId="201" fontId="6" fillId="0" borderId="15" xfId="0" applyNumberFormat="1" applyFont="1" applyFill="1" applyBorder="1" applyAlignment="1">
      <x:alignment vertical="top"/>
    </x:xf>
    <x:xf numFmtId="201" fontId="6" fillId="0" borderId="13" xfId="0" applyNumberFormat="1" applyFont="1" applyFill="1" applyBorder="1" applyAlignment="1">
      <x:alignment vertical="top"/>
    </x:xf>
    <x:xf numFmtId="204" fontId="6" fillId="0" borderId="13" xfId="0" applyNumberFormat="1" applyFont="1" applyFill="1" applyBorder="1" applyAlignment="1">
      <x:alignment vertical="top"/>
    </x:xf>
    <x:xf numFmtId="204" fontId="6" fillId="6" borderId="10" xfId="0" applyNumberFormat="1" applyFont="1" applyFill="1" applyBorder="1" applyAlignment="1">
      <x:alignment vertical="top"/>
    </x:xf>
    <x:xf numFmtId="204" fontId="6" fillId="6" borderId="13" xfId="0" applyNumberFormat="1" applyFont="1" applyFill="1" applyBorder="1" applyAlignment="1">
      <x:alignment vertical="top"/>
    </x:xf>
    <x:xf numFmtId="204" fontId="6" fillId="6" borderId="11" xfId="0" applyNumberFormat="1" applyFont="1" applyFill="1" applyBorder="1" applyAlignment="1">
      <x:alignment vertical="top"/>
    </x:xf>
    <x:xf numFmtId="204" fontId="6" fillId="0" borderId="14" xfId="0" applyNumberFormat="1" applyFont="1" applyFill="1" applyBorder="1" applyAlignment="1">
      <x:alignment vertical="top"/>
    </x:xf>
    <x:xf numFmtId="204" fontId="6" fillId="0" borderId="15" xfId="0" applyNumberFormat="1" applyFont="1" applyFill="1" applyBorder="1" applyAlignment="1">
      <x:alignment vertical="top"/>
    </x:xf>
    <x:xf numFmtId="205" fontId="6" fillId="6" borderId="10" xfId="0" applyNumberFormat="1" applyFont="1" applyFill="1" applyBorder="1" applyAlignment="1">
      <x:alignment vertical="top"/>
    </x:xf>
    <x:xf numFmtId="205" fontId="6" fillId="0" borderId="14" xfId="0" applyNumberFormat="1" applyFont="1" applyFill="1" applyBorder="1" applyAlignment="1">
      <x:alignment vertical="top"/>
    </x:xf>
    <x:xf numFmtId="205" fontId="6" fillId="0" borderId="15" xfId="0" applyNumberFormat="1" applyFont="1" applyFill="1" applyBorder="1" applyAlignment="1">
      <x:alignment vertical="top"/>
    </x:xf>
    <x:xf numFmtId="206" fontId="6" fillId="6" borderId="13" xfId="0" applyNumberFormat="1" applyFont="1" applyFill="1" applyBorder="1" applyAlignment="1">
      <x:alignment vertical="top"/>
    </x:xf>
    <x:xf numFmtId="206" fontId="6" fillId="0" borderId="14" xfId="0" applyNumberFormat="1" applyFont="1" applyFill="1" applyBorder="1" applyAlignment="1">
      <x:alignment vertical="top"/>
    </x:xf>
    <x:xf numFmtId="206" fontId="6" fillId="0" borderId="15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4" xfId="0" applyNumberFormat="1" applyFont="1" applyFill="1" applyBorder="1" applyAlignment="1">
      <x:alignment vertical="top"/>
    </x:xf>
    <x:xf numFmtId="0" fontId="6" fillId="6" borderId="15" xfId="0" applyNumberFormat="1" applyFont="1" applyFill="1" applyBorder="1" applyAlignment="1">
      <x:alignment vertical="top"/>
    </x:xf>
    <x:xf numFmtId="0" fontId="6" fillId="6" borderId="20" xfId="0" applyNumberFormat="1" applyFont="1" applyFill="1" applyBorder="1" applyAlignment="1">
      <x:alignment vertical="top"/>
    </x:xf>
    <x:xf numFmtId="0" fontId="6" fillId="0" borderId="13" xfId="0" applyNumberFormat="1" applyFont="1" applyFill="1" applyBorder="1" applyAlignment="1">
      <x:alignment vertical="top" wrapText="1"/>
    </x:xf>
    <x:xf numFmtId="0" fontId="6" fillId="6" borderId="20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25332D"/>
      </x:font>
      <x:fill>
        <x:patternFill patternType="solid">
          <x:bgColor rgb="FFD9EAD3"/>
        </x:patternFill>
      </x:fill>
    </x:dxf>
    <x:dxf>
      <x:font>
        <x:b/>
        <x:color rgb="FF25332D"/>
      </x:font>
      <x:fill>
        <x:patternFill patternType="solid">
          <x:bgColor rgb="FFF4CCCC"/>
        </x:patternFill>
      </x:fill>
    </x:dxf>
    <x:dxf>
      <x:font>
        <x:b/>
        <x:color rgb="FF25332D"/>
      </x:font>
      <x:fill>
        <x:patternFill patternType="solid">
          <x:bgColor rgb="FFFFF2CC"/>
        </x:patternFill>
      </x:fill>
    </x:dxf>
    <x:dxf>
      <x:font>
        <x:b/>
        <x:color rgb="FF25332D"/>
      </x:font>
      <x:fill>
        <x:patternFill patternType="solid">
          <x:bgColor rgb="FFD9EAF7"/>
        </x:patternFill>
      </x:fill>
    </x:dxf>
    <x:dxf>
      <x:font>
        <x:b/>
        <x:color rgb="FF25332D"/>
      </x:font>
      <x:fill>
        <x:patternFill patternType="solid">
          <x:bgColor rgb="FFD9EAD3"/>
        </x:patternFill>
      </x:fill>
    </x:dxf>
    <x:dxf>
      <x:font>
        <x:b/>
        <x:color rgb="FF25332D"/>
      </x:font>
      <x:fill>
        <x:patternFill patternType="solid">
          <x:bgColor rgb="FFF4CCCC"/>
        </x:patternFill>
      </x:fill>
    </x:dxf>
    <x:dxf>
      <x:font>
        <x:b/>
        <x:color rgb="FF25332D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dc2f3e9494fae" /><Relationship Type="http://schemas.openxmlformats.org/officeDocument/2006/relationships/theme" Target="/xl/theme/theme1.xml" Id="Rc298ec0f4b9444e9" /><Relationship Type="http://schemas.microsoft.com/office/2022/11/relationships/FeaturePropertyBag" Target="/xl/featurePropertyBag/featurePropertyBag.xml" Id="Re7a12b48d26c4c00" /><Relationship Type="http://schemas.openxmlformats.org/officeDocument/2006/relationships/sharedStrings" Target="/xl/sharedStrings.xml" Id="R044deb9e36344ba8" /><Relationship Type="http://schemas.openxmlformats.org/officeDocument/2006/relationships/worksheet" Target="/xl/worksheets/sheet1.xml" Id="R6e54d3cb320540da" /><Relationship Type="http://schemas.openxmlformats.org/officeDocument/2006/relationships/worksheet" Target="/xl/worksheets/sheet2.xml" Id="R2a534ceff64a44f1" /><Relationship Type="http://schemas.openxmlformats.org/officeDocument/2006/relationships/worksheet" Target="/xl/worksheets/sheet3.xml" Id="Rab6eccc692e94fae" /><Relationship Type="http://schemas.openxmlformats.org/officeDocument/2006/relationships/worksheet" Target="/xl/worksheets/sheet4.xml" Id="R5ff18bb22ae94b3e" /><Relationship Type="http://schemas.openxmlformats.org/officeDocument/2006/relationships/worksheet" Target="/xl/worksheets/sheet5.xml" Id="Ra952ac6208754f95" /><Relationship Type="http://schemas.openxmlformats.org/officeDocument/2006/relationships/worksheet" Target="/xl/worksheets/sheet6.xml" Id="R22d47394628f466d" /><Relationship Type="http://schemas.openxmlformats.org/officeDocument/2006/relationships/worksheet" Target="/xl/worksheets/sheet7.xml" Id="R2780807d45a842a2" /><Relationship Type="http://schemas.openxmlformats.org/officeDocument/2006/relationships/worksheet" Target="/xl/worksheets/sheet8.xml" Id="Rf83dd2b175a147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2a6d013ab84c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Qualified reach needed at each follow-conversion rate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Qualified views required</c:v>
          </c:tx>
          <c:spPr>
            <a:solidFill xmlns:a="http://schemas.openxmlformats.org/drawingml/2006/main">
              <a:srgbClr val="C66A55"/>
            </a:solidFill>
          </c:spPr>
          <c:cat>
            <c:strRef>
              <c:f>'Dashboard'!$A$15:$A$18</c:f>
              <c:strCache>
                <c:ptCount val="0"/>
              </c:strCache>
            </c:strRef>
          </c:cat>
          <c:val>
            <c:numRef>
              <c:f>'Dashboard'!$C$15:$C$18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Follows per 1,000 qualified views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Qualified views</a:t>
                </a:r>
              </a:p>
            </c:rich>
          </c:tx>
          <c:overlay val="0"/>
        </c:title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2a6d013ab84c0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kikoContentQueue" displayName="AkikoContentQueue" ref="A3:K33" headerRowCount="1" totalsRowCount="0" totalsRowShown="0">
  <x:tableColumns count="11">
    <x:tableColumn id="1" name="Record ID"/>
    <x:tableColumn id="2" name="Concept"/>
    <x:tableColumn id="3" name="Platform"/>
    <x:tableColumn id="4" name="Proposed local time"/>
    <x:tableColumn id="5" name="Timezone"/>
    <x:tableColumn id="6" name="Queue status"/>
    <x:tableColumn id="7" name="Owner decision"/>
    <x:tableColumn id="8" name="Image path"/>
    <x:tableColumn id="9" name="Caption location"/>
    <x:tableColumn id="10" name="AI disclosure required"/>
    <x:tableColumn id="11" name="Externally schedule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34c65ce8c3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173011bc9994e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38" hidden="0" customWidth="1"/>
    <x:col min="4" max="4" width="26" hidden="0" customWidth="1"/>
    <x:col min="5" max="5" width="22" hidden="0" customWidth="1"/>
    <x:col min="6" max="6" width="3" hidden="0" customWidth="1"/>
    <x:col min="7" max="7" width="28" hidden="0" customWidth="1"/>
    <x:col min="8" max="8" width="22" hidden="0" customWidth="1"/>
  </x:cols>
  <x:sheetData>
    <x:row r="1" ht="34" customHeight="1">
      <x:c r="A1" s="4" t="str">
        <x:v>Akiko / Being Tea Co. — Roadmap Control Center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8" t="str">
        <x:v>Local owner-review tracker. Blank analytics are unknown, never zero. Nothing in this workbook is published or externally scheduled.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0" customHeight="1">
      <x:c r="A4" s="30" t="str">
        <x:v>Planning input</x:v>
      </x:c>
      <x:c r="B4" s="31" t="str">
        <x:v>Value</x:v>
      </x:c>
      <x:c r="D4" s="30" t="str">
        <x:v>Package control</x:v>
      </x:c>
      <x:c r="E4" s="31" t="str">
        <x:v>Current state</x:v>
      </x:c>
      <x:c r="G4" s="30" t="str">
        <x:v>Owner gate</x:v>
      </x:c>
      <x:c r="H4" s="31" t="str">
        <x:v>State</x:v>
      </x:c>
    </x:row>
    <x:row r="5">
      <x:c r="A5" s="32" t="str">
        <x:v>Start date</x:v>
      </x:c>
      <x:c r="B5" s="26" t="n">
        <x:v>46243.5</x:v>
      </x:c>
      <x:c r="D5" s="32" t="str">
        <x:v>Queue records</x:v>
      </x:c>
      <x:c r="E5" s="33" t="n">
        <x:f>COUNTA('Content Queue'!A4:A33)</x:f>
        <x:v>30</x:v>
      </x:c>
      <x:c r="G5" s="32" t="str">
        <x:v>V2 master likeness</x:v>
      </x:c>
      <x:c r="H5" s="39" t="str">
        <x:v>AWAITING_OWNER</x:v>
      </x:c>
    </x:row>
    <x:row r="6">
      <x:c r="A6" s="32" t="str">
        <x:v>Known follower floor</x:v>
      </x:c>
      <x:c r="B6" s="27" t="n">
        <x:v>4</x:v>
      </x:c>
      <x:c r="D6" s="32" t="str">
        <x:v>Ready for owner review</x:v>
      </x:c>
      <x:c r="E6" s="33" t="n">
        <x:f>COUNTIF('Content Queue'!F4:F33,"READY_FOR_OWNER_REVIEW")</x:f>
        <x:v>30</x:v>
      </x:c>
      <x:c r="G6" s="32" t="str">
        <x:v>30 v2 derivatives</x:v>
      </x:c>
      <x:c r="H6" s="39" t="str">
        <x:v>AWAITING_OWNER</x:v>
      </x:c>
    </x:row>
    <x:row r="7">
      <x:c r="A7" s="32" t="str">
        <x:v>Stretch target</x:v>
      </x:c>
      <x:c r="B7" s="28" t="n">
        <x:v>1000000</x:v>
      </x:c>
      <x:c r="D7" s="32" t="str">
        <x:v>Owner-approved rows</x:v>
      </x:c>
      <x:c r="E7" s="33" t="n">
        <x:f>COUNTIF('Content Queue'!G4:G33,"APPROVE")</x:f>
        <x:v>0</x:v>
      </x:c>
      <x:c r="G7" s="32" t="str">
        <x:v>30 captions + alt text</x:v>
      </x:c>
      <x:c r="H7" s="39" t="str">
        <x:v>AWAITING_OWNER</x:v>
      </x:c>
    </x:row>
    <x:row r="8">
      <x:c r="A8" s="32" t="str">
        <x:v>Known maximum gap</x:v>
      </x:c>
      <x:c r="B8" s="33" t="n">
        <x:f>B7-B6</x:f>
        <x:v>999996</x:v>
      </x:c>
      <x:c r="D8" s="32" t="str">
        <x:v>Externally scheduled</x:v>
      </x:c>
      <x:c r="E8" s="33" t="n">
        <x:f>COUNTIF('Content Queue'!K4:K33,TRUE)</x:f>
        <x:v>0</x:v>
      </x:c>
      <x:c r="G8" s="32" t="str">
        <x:v>Persona / pronouns</x:v>
      </x:c>
      <x:c r="H8" s="39" t="str">
        <x:v>AWAITING_OWNER</x:v>
      </x:c>
    </x:row>
    <x:row r="9">
      <x:c r="A9" s="32" t="str">
        <x:v>Inclusive runway (days)</x:v>
      </x:c>
      <x:c r="B9" s="33" t="n">
        <x:v>145</x:v>
      </x:c>
      <x:c r="D9" s="32" t="str">
        <x:v>Published records verified</x:v>
      </x:c>
      <x:c r="E9" s="33" t="n">
        <x:v>0</x:v>
      </x:c>
      <x:c r="G9" s="32" t="str">
        <x:v>Profiles / bios</x:v>
      </x:c>
      <x:c r="H9" s="39" t="str">
        <x:v>AWAITING_OWNER</x:v>
      </x:c>
    </x:row>
    <x:row r="10">
      <x:c r="A10" s="32" t="str">
        <x:v>Required net / day</x:v>
      </x:c>
      <x:c r="B10" s="33" t="n">
        <x:f>B8/B9</x:f>
        <x:v>6896.524137931035</x:v>
      </x:c>
      <x:c r="D10" s="32" t="str">
        <x:v>Meta authorization</x:v>
      </x:c>
      <x:c r="E10" s="36" t="str">
        <x:v>UNRESOLVED</x:v>
      </x:c>
      <x:c r="G10" s="32" t="str">
        <x:v>Analytics baseline</x:v>
      </x:c>
      <x:c r="H10" s="39" t="str">
        <x:v>AWAITING_OWNER</x:v>
      </x:c>
    </x:row>
    <x:row r="11">
      <x:c r="A11" s="34" t="str">
        <x:v>Required net / week</x:v>
      </x:c>
      <x:c r="B11" s="35" t="n">
        <x:f>B10*7</x:f>
        <x:v>48275.668965517245</x:v>
      </x:c>
      <x:c r="D11" s="32" t="str">
        <x:v>X write access</x:v>
      </x:c>
      <x:c r="E11" s="36" t="str">
        <x:v>UNVERIFIED</x:v>
      </x:c>
      <x:c r="G11" s="32" t="str">
        <x:v>Crisis owner</x:v>
      </x:c>
      <x:c r="H11" s="39" t="str">
        <x:v>AWAITING_OWNER</x:v>
      </x:c>
    </x:row>
    <x:row r="12">
      <x:c r="D12" s="32" t="str">
        <x:v>MyPersonas setting</x:v>
      </x:c>
      <x:c r="E12" s="36" t="str">
        <x:v>Last verified L0</x:v>
      </x:c>
      <x:c r="G12" s="34" t="str">
        <x:v>Separate publish instruction</x:v>
      </x:c>
      <x:c r="H12" s="40" t="str">
        <x:v>AWAITING_OWNER</x:v>
      </x:c>
    </x:row>
    <x:row r="13">
      <x:c r="D13" s="34" t="str">
        <x:v>Local draft pack</x:v>
      </x:c>
      <x:c r="E13" s="37" t="str">
        <x:v>VALID / IMPORT DISABLED</x:v>
      </x:c>
    </x:row>
    <x:row r="14" ht="30" customHeight="1">
      <x:c r="A14" s="17" t="str">
        <x:v>Follows per 1,000 qualified views</x:v>
      </x:c>
      <x:c r="B14" s="44" t="str">
        <x:v>Conversion</x:v>
      </x:c>
      <x:c r="C14" s="18" t="str">
        <x:v>Qualified views required</x:v>
      </x:c>
    </x:row>
    <x:row r="15">
      <x:c r="A15" s="48" t="n">
        <x:v>1</x:v>
      </x:c>
      <x:c r="B15" s="51" t="n">
        <x:f>A15/1000</x:f>
        <x:v>0.001</x:v>
      </x:c>
      <x:c r="C15" s="54" t="n">
        <x:f>$B$8/B15</x:f>
        <x:v>999996000</x:v>
      </x:c>
    </x:row>
    <x:row r="16">
      <x:c r="A16" s="49" t="n">
        <x:v>3</x:v>
      </x:c>
      <x:c r="B16" s="52" t="n">
        <x:f>A16/1000</x:f>
        <x:v>0.003</x:v>
      </x:c>
      <x:c r="C16" s="55" t="n">
        <x:f>$B$8/B16</x:f>
        <x:v>333332000</x:v>
      </x:c>
    </x:row>
    <x:row r="17">
      <x:c r="A17" s="49" t="n">
        <x:v>5</x:v>
      </x:c>
      <x:c r="B17" s="52" t="n">
        <x:f>A17/1000</x:f>
        <x:v>0.005</x:v>
      </x:c>
      <x:c r="C17" s="55" t="n">
        <x:f>$B$8/B17</x:f>
        <x:v>199999200</x:v>
      </x:c>
    </x:row>
    <x:row r="18">
      <x:c r="A18" s="50" t="n">
        <x:v>10</x:v>
      </x:c>
      <x:c r="B18" s="53" t="n">
        <x:f>A18/1000</x:f>
        <x:v>0.01</x:v>
      </x:c>
      <x:c r="C18" s="56" t="n">
        <x:f>$B$8/B18</x:f>
        <x:v>99999600</x:v>
      </x:c>
    </x:row>
    <x:row r="21" ht="30" customHeight="1">
      <x:c r="A21" s="17" t="str">
        <x:v>Scenario</x:v>
      </x:c>
      <x:c r="B21" s="44" t="str">
        <x:v>Implied net followers</x:v>
      </x:c>
      <x:c r="C21" s="18" t="str">
        <x:v>Interpretation</x:v>
      </x:c>
    </x:row>
    <x:row r="22">
      <x:c r="A22" s="61" t="str">
        <x:v>Conservative learning</x:v>
      </x:c>
      <x:c r="B22" s="61" t="str">
        <x:v>500–6,000</x:v>
      </x:c>
      <x:c r="C22" s="61" t="str">
        <x:v>Useful positioning data; far below stretch</x:v>
      </x:c>
    </x:row>
    <x:row r="23">
      <x:c r="A23" s="62" t="str">
        <x:v>Strong emerging brand</x:v>
      </x:c>
      <x:c r="B23" s="62" t="str">
        <x:v>15,000–120,000</x:v>
      </x:c>
      <x:c r="C23" s="62" t="str">
        <x:v>Repeatable series and owned-audience potential</x:v>
      </x:c>
    </x:row>
    <x:row r="24">
      <x:c r="A24" s="63" t="str">
        <x:v>Breakout system</x:v>
      </x:c>
      <x:c r="B24" s="63" t="str">
        <x:v>250,000–2,000,000</x:v>
      </x:c>
      <x:c r="C24" s="63" t="str">
        <x:v>Several major winners plus continuing conversion</x:v>
      </x:c>
    </x:row>
    <x:row r="31">
      <x:c r="A31" s="66" t="str">
        <x:v>Decision rule: safety, rights, disclosure, account health, and qualified audience growth outrank raw views. Viral outliers are reported separately from seven- and 28-day medians.</x:v>
      </x:c>
      <x:c r="B31" s="66"/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</x:row>
    <x:row r="32">
      <x:c r="A32" s="66"/>
      <x:c r="B32" s="66"/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</x:row>
  </x:sheetData>
  <x:mergeCells>
    <x:mergeCell ref="A1:L1"/>
    <x:mergeCell ref="A2:L2"/>
    <x:mergeCell ref="A31:L32"/>
  </x:mergeCells>
  <x:pageMargins left="0.7" right="0.7" top="0.75" bottom="0.75" header="0.3" footer="0.3"/>
  <x:drawing xmlns:r="http://schemas.openxmlformats.org/officeDocument/2006/relationships" r:id="Ra734c65ce8c34c9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36" hidden="0" customWidth="1"/>
  </x:cols>
  <x:sheetData>
    <x:row r="1" ht="34" customHeight="1">
      <x:c r="A1" s="4" t="str">
        <x:v>Weekly Analytics Input and Reforecast</x:v>
      </x:c>
      <x:c r="B1" s="4"/>
      <x:c r="C1" s="81"/>
      <x:c r="D1" s="82"/>
      <x:c r="E1" s="82"/>
      <x:c r="F1" s="82"/>
      <x:c r="G1" s="82"/>
      <x:c r="H1" s="83"/>
      <x:c r="I1" s="4"/>
      <x:c r="J1" s="4"/>
      <x:c r="K1" s="4"/>
      <x:c r="L1" s="4"/>
      <x:c r="M1" s="81"/>
      <x:c r="N1" s="83"/>
      <x:c r="O1" s="4"/>
      <x:c r="P1" s="81"/>
      <x:c r="Q1" s="82"/>
      <x:c r="R1" s="82"/>
      <x:c r="S1" s="82"/>
      <x:c r="T1" s="83"/>
      <x:c r="U1" s="4"/>
      <x:c r="V1" s="4"/>
      <x:c r="W1" s="4"/>
      <x:c r="X1" s="4"/>
      <x:c r="Y1" s="4"/>
      <x:c r="Z1" s="81"/>
      <x:c r="AA1" s="82"/>
      <x:c r="AB1" s="82"/>
      <x:c r="AC1" s="82"/>
      <x:c r="AD1" s="83"/>
    </x:row>
    <x:row r="2" ht="28" customHeight="1">
      <x:c r="A2" s="8" t="str">
        <x:v>Yellow columns are owner/platform inputs. ISO weeks are Monday–Sunday; the first week ends on day 8 from the Aug 9 baseline, while Forecast Day 7 is Aug 15.</x:v>
      </x:c>
      <x:c r="B2" s="8"/>
      <x:c r="C2" s="84"/>
      <x:c r="D2" s="76"/>
      <x:c r="E2" s="76"/>
      <x:c r="F2" s="76"/>
      <x:c r="G2" s="76"/>
      <x:c r="H2" s="85"/>
      <x:c r="I2" s="8"/>
      <x:c r="J2" s="8"/>
      <x:c r="K2" s="8"/>
      <x:c r="L2" s="8"/>
      <x:c r="M2" s="84"/>
      <x:c r="N2" s="85"/>
      <x:c r="O2" s="8"/>
      <x:c r="P2" s="84"/>
      <x:c r="Q2" s="76"/>
      <x:c r="R2" s="76"/>
      <x:c r="S2" s="76"/>
      <x:c r="T2" s="85"/>
      <x:c r="U2" s="8"/>
      <x:c r="V2" s="8"/>
      <x:c r="W2" s="8"/>
      <x:c r="X2" s="8"/>
      <x:c r="Y2" s="8"/>
      <x:c r="Z2" s="84"/>
      <x:c r="AA2" s="76"/>
      <x:c r="AB2" s="76"/>
      <x:c r="AC2" s="76"/>
      <x:c r="AD2" s="85"/>
    </x:row>
    <x:row r="3" ht="30" customHeight="1">
      <x:c r="A3" s="17" t="str">
        <x:v>Week start</x:v>
      </x:c>
      <x:c r="B3" s="44" t="str">
        <x:v>Week end</x:v>
      </x:c>
      <x:c r="C3" s="86" t="str">
        <x:v>IG open</x:v>
      </x:c>
      <x:c r="D3" s="80" t="str">
        <x:v>IG close</x:v>
      </x:c>
      <x:c r="E3" s="80" t="str">
        <x:v>FB open</x:v>
      </x:c>
      <x:c r="F3" s="80" t="str">
        <x:v>FB close</x:v>
      </x:c>
      <x:c r="G3" s="80" t="str">
        <x:v>X open</x:v>
      </x:c>
      <x:c r="H3" s="87" t="str">
        <x:v>X close</x:v>
      </x:c>
      <x:c r="I3" s="44" t="str">
        <x:v>Combined close</x:v>
      </x:c>
      <x:c r="J3" s="44" t="str">
        <x:v>Net followers</x:v>
      </x:c>
      <x:c r="K3" s="44" t="str">
        <x:v>Stretch reference</x:v>
      </x:c>
      <x:c r="L3" s="44" t="str">
        <x:v>Variance</x:v>
      </x:c>
      <x:c r="M3" s="86" t="str">
        <x:v>Qualified views</x:v>
      </x:c>
      <x:c r="N3" s="87" t="str">
        <x:v>Attributed follows</x:v>
      </x:c>
      <x:c r="O3" s="44" t="str">
        <x:v>Follows / 1,000</x:v>
      </x:c>
      <x:c r="P3" s="86" t="str">
        <x:v>Shares</x:v>
      </x:c>
      <x:c r="Q3" s="80" t="str">
        <x:v>Saves</x:v>
      </x:c>
      <x:c r="R3" s="80" t="str">
        <x:v>Meaningful comments</x:v>
      </x:c>
      <x:c r="S3" s="80" t="str">
        <x:v>Profile visits</x:v>
      </x:c>
      <x:c r="T3" s="87" t="str">
        <x:v>Negative feedback</x:v>
      </x:c>
      <x:c r="U3" s="44" t="str">
        <x:v>Shares / 1,000</x:v>
      </x:c>
      <x:c r="V3" s="44" t="str">
        <x:v>Saves / 1,000</x:v>
      </x:c>
      <x:c r="W3" s="44" t="str">
        <x:v>Comments / 1,000</x:v>
      </x:c>
      <x:c r="X3" s="44" t="str">
        <x:v>Profile visits / 1,000</x:v>
      </x:c>
      <x:c r="Y3" s="44" t="str">
        <x:v>Negative / 1,000</x:v>
      </x:c>
      <x:c r="Z3" s="86" t="str">
        <x:v>Production hours</x:v>
      </x:c>
      <x:c r="AA3" s="80" t="str">
        <x:v>Production cost</x:v>
      </x:c>
      <x:c r="AB3" s="80" t="str">
        <x:v>Email signups</x:v>
      </x:c>
      <x:c r="AC3" s="80" t="str">
        <x:v>Revenue</x:v>
      </x:c>
      <x:c r="AD3" s="87" t="str">
        <x:v>Notes</x:v>
      </x:c>
    </x:row>
    <x:row r="4">
      <x:c r="A4" s="72" t="n">
        <x:v>46244.5</x:v>
      </x:c>
      <x:c r="B4" s="72" t="n">
        <x:v>46250.5</x:v>
      </x:c>
      <x:c r="C4" s="92"/>
      <x:c r="D4" s="93"/>
      <x:c r="E4" s="93"/>
      <x:c r="F4" s="93"/>
      <x:c r="G4" s="93"/>
      <x:c r="H4" s="94"/>
      <x:c r="I4" s="97" t="str">
        <x:f>IF(COUNT(D4,F4,H4)=0,"",SUM(D4,F4,H4))</x:f>
      </x:c>
      <x:c r="J4" s="97" t="str">
        <x:f>IF(I4="","",I4-'Dashboard'!$B$6)</x:f>
      </x:c>
      <x:c r="K4" s="97" t="n">
        <x:f>ROUND('Dashboard'!$B$6+'Dashboard'!$B$8*MIN('Dashboard'!$B$9,B4-'Dashboard'!$B$5+1)/'Dashboard'!$B$9,0)</x:f>
        <x:v>55176</x:v>
      </x:c>
      <x:c r="L4" s="97" t="str">
        <x:f>IF(I4="","",I4-K4)</x:f>
      </x:c>
      <x:c r="M4" s="92"/>
      <x:c r="N4" s="94"/>
      <x:c r="O4" s="98" t="str">
        <x:f>IF(OR(M4="",N4="",M4=0),"",N4/M4*1000)</x:f>
      </x:c>
      <x:c r="P4" s="99"/>
      <x:c r="Q4" s="100"/>
      <x:c r="R4" s="100"/>
      <x:c r="S4" s="100"/>
      <x:c r="T4" s="101"/>
      <x:c r="U4" s="98" t="str">
        <x:f>IF(OR(M4="",M4=0,P4=""),"",P4/M4*1000)</x:f>
      </x:c>
      <x:c r="V4" s="98" t="str">
        <x:f>IF(OR(M4="",M4=0,Q4=""),"",Q4/M4*1000)</x:f>
      </x:c>
      <x:c r="W4" s="98" t="str">
        <x:f>IF(OR(M4="",M4=0,R4=""),"",R4/M4*1000)</x:f>
      </x:c>
      <x:c r="X4" s="98" t="str">
        <x:f>IF(OR(M4="",M4=0,S4=""),"",S4/M4*1000)</x:f>
      </x:c>
      <x:c r="Y4" s="98" t="str">
        <x:f>IF(OR(M4="",M4=0,T4=""),"",T4/M4*1000)</x:f>
      </x:c>
      <x:c r="Z4" s="104"/>
      <x:c r="AA4" s="107"/>
      <x:c r="AB4" s="93"/>
      <x:c r="AC4" s="107"/>
      <x:c r="AD4" s="89"/>
    </x:row>
    <x:row r="5">
      <x:c r="A5" s="73" t="n">
        <x:v>46251.5</x:v>
      </x:c>
      <x:c r="B5" s="73" t="n">
        <x:v>46257.5</x:v>
      </x:c>
      <x:c r="C5" s="95"/>
      <x:c r="D5" s="95"/>
      <x:c r="E5" s="95"/>
      <x:c r="F5" s="95"/>
      <x:c r="G5" s="95"/>
      <x:c r="H5" s="95"/>
      <x:c r="I5" s="95" t="str">
        <x:f>IF(COUNT(D5,F5,H5)=0,"",SUM(D5,F5,H5))</x:f>
      </x:c>
      <x:c r="J5" s="95" t="str">
        <x:f>IF(I5="","",I5-I4)</x:f>
      </x:c>
      <x:c r="K5" s="95" t="n">
        <x:f>ROUND('Dashboard'!$B$6+'Dashboard'!$B$8*MIN('Dashboard'!$B$9,B5-'Dashboard'!$B$5+1)/'Dashboard'!$B$9,0)</x:f>
        <x:v>103452</x:v>
      </x:c>
      <x:c r="L5" s="95" t="str">
        <x:f>IF(I5="","",I5-K5)</x:f>
      </x:c>
      <x:c r="M5" s="95"/>
      <x:c r="N5" s="95"/>
      <x:c r="O5" s="102" t="str">
        <x:f>IF(OR(M5="",N5="",M5=0),"",N5/M5*1000)</x:f>
      </x:c>
      <x:c r="P5" s="102"/>
      <x:c r="Q5" s="102"/>
      <x:c r="R5" s="102"/>
      <x:c r="S5" s="102"/>
      <x:c r="T5" s="102"/>
      <x:c r="U5" s="102" t="str">
        <x:f>IF(OR(M5="",M5=0,P5=""),"",P5/M5*1000)</x:f>
      </x:c>
      <x:c r="V5" s="102" t="str">
        <x:f>IF(OR(M5="",M5=0,Q5=""),"",Q5/M5*1000)</x:f>
      </x:c>
      <x:c r="W5" s="102" t="str">
        <x:f>IF(OR(M5="",M5=0,R5=""),"",R5/M5*1000)</x:f>
      </x:c>
      <x:c r="X5" s="102" t="str">
        <x:f>IF(OR(M5="",M5=0,S5=""),"",S5/M5*1000)</x:f>
      </x:c>
      <x:c r="Y5" s="102" t="str">
        <x:f>IF(OR(M5="",M5=0,T5=""),"",T5/M5*1000)</x:f>
      </x:c>
      <x:c r="Z5" s="105"/>
      <x:c r="AA5" s="108"/>
      <x:c r="AB5" s="95"/>
      <x:c r="AC5" s="108"/>
      <x:c r="AD5" s="62"/>
    </x:row>
    <x:row r="6">
      <x:c r="A6" s="73" t="n">
        <x:v>46258.5</x:v>
      </x:c>
      <x:c r="B6" s="73" t="n">
        <x:v>46264.5</x:v>
      </x:c>
      <x:c r="C6" s="95"/>
      <x:c r="D6" s="95"/>
      <x:c r="E6" s="95"/>
      <x:c r="F6" s="95"/>
      <x:c r="G6" s="95"/>
      <x:c r="H6" s="95"/>
      <x:c r="I6" s="95" t="str">
        <x:f>IF(COUNT(D6,F6,H6)=0,"",SUM(D6,F6,H6))</x:f>
      </x:c>
      <x:c r="J6" s="95" t="str">
        <x:f>IF(I6="","",I6-I5)</x:f>
      </x:c>
      <x:c r="K6" s="95" t="n">
        <x:f>ROUND('Dashboard'!$B$6+'Dashboard'!$B$8*MIN('Dashboard'!$B$9,B6-'Dashboard'!$B$5+1)/'Dashboard'!$B$9,0)</x:f>
        <x:v>151728</x:v>
      </x:c>
      <x:c r="L6" s="95" t="str">
        <x:f>IF(I6="","",I6-K6)</x:f>
      </x:c>
      <x:c r="M6" s="95"/>
      <x:c r="N6" s="95"/>
      <x:c r="O6" s="102" t="str">
        <x:f>IF(OR(M6="",N6="",M6=0),"",N6/M6*1000)</x:f>
      </x:c>
      <x:c r="P6" s="102"/>
      <x:c r="Q6" s="102"/>
      <x:c r="R6" s="102"/>
      <x:c r="S6" s="102"/>
      <x:c r="T6" s="102"/>
      <x:c r="U6" s="102" t="str">
        <x:f>IF(OR(M6="",M6=0,P6=""),"",P6/M6*1000)</x:f>
      </x:c>
      <x:c r="V6" s="102" t="str">
        <x:f>IF(OR(M6="",M6=0,Q6=""),"",Q6/M6*1000)</x:f>
      </x:c>
      <x:c r="W6" s="102" t="str">
        <x:f>IF(OR(M6="",M6=0,R6=""),"",R6/M6*1000)</x:f>
      </x:c>
      <x:c r="X6" s="102" t="str">
        <x:f>IF(OR(M6="",M6=0,S6=""),"",S6/M6*1000)</x:f>
      </x:c>
      <x:c r="Y6" s="102" t="str">
        <x:f>IF(OR(M6="",M6=0,T6=""),"",T6/M6*1000)</x:f>
      </x:c>
      <x:c r="Z6" s="105"/>
      <x:c r="AA6" s="108"/>
      <x:c r="AB6" s="95"/>
      <x:c r="AC6" s="108"/>
      <x:c r="AD6" s="62"/>
    </x:row>
    <x:row r="7">
      <x:c r="A7" s="73" t="n">
        <x:v>46265.5</x:v>
      </x:c>
      <x:c r="B7" s="73" t="n">
        <x:v>46271.5</x:v>
      </x:c>
      <x:c r="C7" s="95"/>
      <x:c r="D7" s="95"/>
      <x:c r="E7" s="95"/>
      <x:c r="F7" s="95"/>
      <x:c r="G7" s="95"/>
      <x:c r="H7" s="95"/>
      <x:c r="I7" s="95" t="str">
        <x:f>IF(COUNT(D7,F7,H7)=0,"",SUM(D7,F7,H7))</x:f>
      </x:c>
      <x:c r="J7" s="95" t="str">
        <x:f>IF(I7="","",I7-I6)</x:f>
      </x:c>
      <x:c r="K7" s="95" t="n">
        <x:f>ROUND('Dashboard'!$B$6+'Dashboard'!$B$8*MIN('Dashboard'!$B$9,B7-'Dashboard'!$B$5+1)/'Dashboard'!$B$9,0)</x:f>
        <x:v>200003</x:v>
      </x:c>
      <x:c r="L7" s="95" t="str">
        <x:f>IF(I7="","",I7-K7)</x:f>
      </x:c>
      <x:c r="M7" s="95"/>
      <x:c r="N7" s="95"/>
      <x:c r="O7" s="102" t="str">
        <x:f>IF(OR(M7="",N7="",M7=0),"",N7/M7*1000)</x:f>
      </x:c>
      <x:c r="P7" s="102"/>
      <x:c r="Q7" s="102"/>
      <x:c r="R7" s="102"/>
      <x:c r="S7" s="102"/>
      <x:c r="T7" s="102"/>
      <x:c r="U7" s="102" t="str">
        <x:f>IF(OR(M7="",M7=0,P7=""),"",P7/M7*1000)</x:f>
      </x:c>
      <x:c r="V7" s="102" t="str">
        <x:f>IF(OR(M7="",M7=0,Q7=""),"",Q7/M7*1000)</x:f>
      </x:c>
      <x:c r="W7" s="102" t="str">
        <x:f>IF(OR(M7="",M7=0,R7=""),"",R7/M7*1000)</x:f>
      </x:c>
      <x:c r="X7" s="102" t="str">
        <x:f>IF(OR(M7="",M7=0,S7=""),"",S7/M7*1000)</x:f>
      </x:c>
      <x:c r="Y7" s="102" t="str">
        <x:f>IF(OR(M7="",M7=0,T7=""),"",T7/M7*1000)</x:f>
      </x:c>
      <x:c r="Z7" s="105"/>
      <x:c r="AA7" s="108"/>
      <x:c r="AB7" s="95"/>
      <x:c r="AC7" s="108"/>
      <x:c r="AD7" s="62"/>
    </x:row>
    <x:row r="8">
      <x:c r="A8" s="73" t="n">
        <x:v>46272.5</x:v>
      </x:c>
      <x:c r="B8" s="73" t="n">
        <x:v>46278.5</x:v>
      </x:c>
      <x:c r="C8" s="95"/>
      <x:c r="D8" s="95"/>
      <x:c r="E8" s="95"/>
      <x:c r="F8" s="95"/>
      <x:c r="G8" s="95"/>
      <x:c r="H8" s="95"/>
      <x:c r="I8" s="95" t="str">
        <x:f>IF(COUNT(D8,F8,H8)=0,"",SUM(D8,F8,H8))</x:f>
      </x:c>
      <x:c r="J8" s="95" t="str">
        <x:f>IF(I8="","",I8-I7)</x:f>
      </x:c>
      <x:c r="K8" s="95" t="n">
        <x:f>ROUND('Dashboard'!$B$6+'Dashboard'!$B$8*MIN('Dashboard'!$B$9,B8-'Dashboard'!$B$5+1)/'Dashboard'!$B$9,0)</x:f>
        <x:v>248279</x:v>
      </x:c>
      <x:c r="L8" s="95" t="str">
        <x:f>IF(I8="","",I8-K8)</x:f>
      </x:c>
      <x:c r="M8" s="95"/>
      <x:c r="N8" s="95"/>
      <x:c r="O8" s="102" t="str">
        <x:f>IF(OR(M8="",N8="",M8=0),"",N8/M8*1000)</x:f>
      </x:c>
      <x:c r="P8" s="102"/>
      <x:c r="Q8" s="102"/>
      <x:c r="R8" s="102"/>
      <x:c r="S8" s="102"/>
      <x:c r="T8" s="102"/>
      <x:c r="U8" s="102" t="str">
        <x:f>IF(OR(M8="",M8=0,P8=""),"",P8/M8*1000)</x:f>
      </x:c>
      <x:c r="V8" s="102" t="str">
        <x:f>IF(OR(M8="",M8=0,Q8=""),"",Q8/M8*1000)</x:f>
      </x:c>
      <x:c r="W8" s="102" t="str">
        <x:f>IF(OR(M8="",M8=0,R8=""),"",R8/M8*1000)</x:f>
      </x:c>
      <x:c r="X8" s="102" t="str">
        <x:f>IF(OR(M8="",M8=0,S8=""),"",S8/M8*1000)</x:f>
      </x:c>
      <x:c r="Y8" s="102" t="str">
        <x:f>IF(OR(M8="",M8=0,T8=""),"",T8/M8*1000)</x:f>
      </x:c>
      <x:c r="Z8" s="105"/>
      <x:c r="AA8" s="108"/>
      <x:c r="AB8" s="95"/>
      <x:c r="AC8" s="108"/>
      <x:c r="AD8" s="62"/>
    </x:row>
    <x:row r="9">
      <x:c r="A9" s="73" t="n">
        <x:v>46279.5</x:v>
      </x:c>
      <x:c r="B9" s="73" t="n">
        <x:v>46285.5</x:v>
      </x:c>
      <x:c r="C9" s="95"/>
      <x:c r="D9" s="95"/>
      <x:c r="E9" s="95"/>
      <x:c r="F9" s="95"/>
      <x:c r="G9" s="95"/>
      <x:c r="H9" s="95"/>
      <x:c r="I9" s="95" t="str">
        <x:f>IF(COUNT(D9,F9,H9)=0,"",SUM(D9,F9,H9))</x:f>
      </x:c>
      <x:c r="J9" s="95" t="str">
        <x:f>IF(I9="","",I9-I8)</x:f>
      </x:c>
      <x:c r="K9" s="95" t="n">
        <x:f>ROUND('Dashboard'!$B$6+'Dashboard'!$B$8*MIN('Dashboard'!$B$9,B9-'Dashboard'!$B$5+1)/'Dashboard'!$B$9,0)</x:f>
        <x:v>296555</x:v>
      </x:c>
      <x:c r="L9" s="95" t="str">
        <x:f>IF(I9="","",I9-K9)</x:f>
      </x:c>
      <x:c r="M9" s="95"/>
      <x:c r="N9" s="95"/>
      <x:c r="O9" s="102" t="str">
        <x:f>IF(OR(M9="",N9="",M9=0),"",N9/M9*1000)</x:f>
      </x:c>
      <x:c r="P9" s="102"/>
      <x:c r="Q9" s="102"/>
      <x:c r="R9" s="102"/>
      <x:c r="S9" s="102"/>
      <x:c r="T9" s="102"/>
      <x:c r="U9" s="102" t="str">
        <x:f>IF(OR(M9="",M9=0,P9=""),"",P9/M9*1000)</x:f>
      </x:c>
      <x:c r="V9" s="102" t="str">
        <x:f>IF(OR(M9="",M9=0,Q9=""),"",Q9/M9*1000)</x:f>
      </x:c>
      <x:c r="W9" s="102" t="str">
        <x:f>IF(OR(M9="",M9=0,R9=""),"",R9/M9*1000)</x:f>
      </x:c>
      <x:c r="X9" s="102" t="str">
        <x:f>IF(OR(M9="",M9=0,S9=""),"",S9/M9*1000)</x:f>
      </x:c>
      <x:c r="Y9" s="102" t="str">
        <x:f>IF(OR(M9="",M9=0,T9=""),"",T9/M9*1000)</x:f>
      </x:c>
      <x:c r="Z9" s="105"/>
      <x:c r="AA9" s="108"/>
      <x:c r="AB9" s="95"/>
      <x:c r="AC9" s="108"/>
      <x:c r="AD9" s="62"/>
    </x:row>
    <x:row r="10">
      <x:c r="A10" s="73" t="n">
        <x:v>46286.5</x:v>
      </x:c>
      <x:c r="B10" s="73" t="n">
        <x:v>46292.5</x:v>
      </x:c>
      <x:c r="C10" s="95"/>
      <x:c r="D10" s="95"/>
      <x:c r="E10" s="95"/>
      <x:c r="F10" s="95"/>
      <x:c r="G10" s="95"/>
      <x:c r="H10" s="95"/>
      <x:c r="I10" s="95" t="str">
        <x:f>IF(COUNT(D10,F10,H10)=0,"",SUM(D10,F10,H10))</x:f>
      </x:c>
      <x:c r="J10" s="95" t="str">
        <x:f>IF(I10="","",I10-I9)</x:f>
      </x:c>
      <x:c r="K10" s="95" t="n">
        <x:f>ROUND('Dashboard'!$B$6+'Dashboard'!$B$8*MIN('Dashboard'!$B$9,B10-'Dashboard'!$B$5+1)/'Dashboard'!$B$9,0)</x:f>
        <x:v>344830</x:v>
      </x:c>
      <x:c r="L10" s="95" t="str">
        <x:f>IF(I10="","",I10-K10)</x:f>
      </x:c>
      <x:c r="M10" s="95"/>
      <x:c r="N10" s="95"/>
      <x:c r="O10" s="102" t="str">
        <x:f>IF(OR(M10="",N10="",M10=0),"",N10/M10*1000)</x:f>
      </x:c>
      <x:c r="P10" s="102"/>
      <x:c r="Q10" s="102"/>
      <x:c r="R10" s="102"/>
      <x:c r="S10" s="102"/>
      <x:c r="T10" s="102"/>
      <x:c r="U10" s="102" t="str">
        <x:f>IF(OR(M10="",M10=0,P10=""),"",P10/M10*1000)</x:f>
      </x:c>
      <x:c r="V10" s="102" t="str">
        <x:f>IF(OR(M10="",M10=0,Q10=""),"",Q10/M10*1000)</x:f>
      </x:c>
      <x:c r="W10" s="102" t="str">
        <x:f>IF(OR(M10="",M10=0,R10=""),"",R10/M10*1000)</x:f>
      </x:c>
      <x:c r="X10" s="102" t="str">
        <x:f>IF(OR(M10="",M10=0,S10=""),"",S10/M10*1000)</x:f>
      </x:c>
      <x:c r="Y10" s="102" t="str">
        <x:f>IF(OR(M10="",M10=0,T10=""),"",T10/M10*1000)</x:f>
      </x:c>
      <x:c r="Z10" s="105"/>
      <x:c r="AA10" s="108"/>
      <x:c r="AB10" s="95"/>
      <x:c r="AC10" s="108"/>
      <x:c r="AD10" s="62"/>
    </x:row>
    <x:row r="11">
      <x:c r="A11" s="73" t="n">
        <x:v>46293.5</x:v>
      </x:c>
      <x:c r="B11" s="73" t="n">
        <x:v>46299.5</x:v>
      </x:c>
      <x:c r="C11" s="95"/>
      <x:c r="D11" s="95"/>
      <x:c r="E11" s="95"/>
      <x:c r="F11" s="95"/>
      <x:c r="G11" s="95"/>
      <x:c r="H11" s="95"/>
      <x:c r="I11" s="95" t="str">
        <x:f>IF(COUNT(D11,F11,H11)=0,"",SUM(D11,F11,H11))</x:f>
      </x:c>
      <x:c r="J11" s="95" t="str">
        <x:f>IF(I11="","",I11-I10)</x:f>
      </x:c>
      <x:c r="K11" s="95" t="n">
        <x:f>ROUND('Dashboard'!$B$6+'Dashboard'!$B$8*MIN('Dashboard'!$B$9,B11-'Dashboard'!$B$5+1)/'Dashboard'!$B$9,0)</x:f>
        <x:v>393106</x:v>
      </x:c>
      <x:c r="L11" s="95" t="str">
        <x:f>IF(I11="","",I11-K11)</x:f>
      </x:c>
      <x:c r="M11" s="95"/>
      <x:c r="N11" s="95"/>
      <x:c r="O11" s="102" t="str">
        <x:f>IF(OR(M11="",N11="",M11=0),"",N11/M11*1000)</x:f>
      </x:c>
      <x:c r="P11" s="102"/>
      <x:c r="Q11" s="102"/>
      <x:c r="R11" s="102"/>
      <x:c r="S11" s="102"/>
      <x:c r="T11" s="102"/>
      <x:c r="U11" s="102" t="str">
        <x:f>IF(OR(M11="",M11=0,P11=""),"",P11/M11*1000)</x:f>
      </x:c>
      <x:c r="V11" s="102" t="str">
        <x:f>IF(OR(M11="",M11=0,Q11=""),"",Q11/M11*1000)</x:f>
      </x:c>
      <x:c r="W11" s="102" t="str">
        <x:f>IF(OR(M11="",M11=0,R11=""),"",R11/M11*1000)</x:f>
      </x:c>
      <x:c r="X11" s="102" t="str">
        <x:f>IF(OR(M11="",M11=0,S11=""),"",S11/M11*1000)</x:f>
      </x:c>
      <x:c r="Y11" s="102" t="str">
        <x:f>IF(OR(M11="",M11=0,T11=""),"",T11/M11*1000)</x:f>
      </x:c>
      <x:c r="Z11" s="105"/>
      <x:c r="AA11" s="108"/>
      <x:c r="AB11" s="95"/>
      <x:c r="AC11" s="108"/>
      <x:c r="AD11" s="62"/>
    </x:row>
    <x:row r="12">
      <x:c r="A12" s="73" t="n">
        <x:v>46300.5</x:v>
      </x:c>
      <x:c r="B12" s="73" t="n">
        <x:v>46306.5</x:v>
      </x:c>
      <x:c r="C12" s="95"/>
      <x:c r="D12" s="95"/>
      <x:c r="E12" s="95"/>
      <x:c r="F12" s="95"/>
      <x:c r="G12" s="95"/>
      <x:c r="H12" s="95"/>
      <x:c r="I12" s="95" t="str">
        <x:f>IF(COUNT(D12,F12,H12)=0,"",SUM(D12,F12,H12))</x:f>
      </x:c>
      <x:c r="J12" s="95" t="str">
        <x:f>IF(I12="","",I12-I11)</x:f>
      </x:c>
      <x:c r="K12" s="95" t="n">
        <x:f>ROUND('Dashboard'!$B$6+'Dashboard'!$B$8*MIN('Dashboard'!$B$9,B12-'Dashboard'!$B$5+1)/'Dashboard'!$B$9,0)</x:f>
        <x:v>441382</x:v>
      </x:c>
      <x:c r="L12" s="95" t="str">
        <x:f>IF(I12="","",I12-K12)</x:f>
      </x:c>
      <x:c r="M12" s="95"/>
      <x:c r="N12" s="95"/>
      <x:c r="O12" s="102" t="str">
        <x:f>IF(OR(M12="",N12="",M12=0),"",N12/M12*1000)</x:f>
      </x:c>
      <x:c r="P12" s="102"/>
      <x:c r="Q12" s="102"/>
      <x:c r="R12" s="102"/>
      <x:c r="S12" s="102"/>
      <x:c r="T12" s="102"/>
      <x:c r="U12" s="102" t="str">
        <x:f>IF(OR(M12="",M12=0,P12=""),"",P12/M12*1000)</x:f>
      </x:c>
      <x:c r="V12" s="102" t="str">
        <x:f>IF(OR(M12="",M12=0,Q12=""),"",Q12/M12*1000)</x:f>
      </x:c>
      <x:c r="W12" s="102" t="str">
        <x:f>IF(OR(M12="",M12=0,R12=""),"",R12/M12*1000)</x:f>
      </x:c>
      <x:c r="X12" s="102" t="str">
        <x:f>IF(OR(M12="",M12=0,S12=""),"",S12/M12*1000)</x:f>
      </x:c>
      <x:c r="Y12" s="102" t="str">
        <x:f>IF(OR(M12="",M12=0,T12=""),"",T12/M12*1000)</x:f>
      </x:c>
      <x:c r="Z12" s="105"/>
      <x:c r="AA12" s="108"/>
      <x:c r="AB12" s="95"/>
      <x:c r="AC12" s="108"/>
      <x:c r="AD12" s="62"/>
    </x:row>
    <x:row r="13">
      <x:c r="A13" s="73" t="n">
        <x:v>46307.5</x:v>
      </x:c>
      <x:c r="B13" s="73" t="n">
        <x:v>46313.5</x:v>
      </x:c>
      <x:c r="C13" s="95"/>
      <x:c r="D13" s="95"/>
      <x:c r="E13" s="95"/>
      <x:c r="F13" s="95"/>
      <x:c r="G13" s="95"/>
      <x:c r="H13" s="95"/>
      <x:c r="I13" s="95" t="str">
        <x:f>IF(COUNT(D13,F13,H13)=0,"",SUM(D13,F13,H13))</x:f>
      </x:c>
      <x:c r="J13" s="95" t="str">
        <x:f>IF(I13="","",I13-I12)</x:f>
      </x:c>
      <x:c r="K13" s="95" t="n">
        <x:f>ROUND('Dashboard'!$B$6+'Dashboard'!$B$8*MIN('Dashboard'!$B$9,B13-'Dashboard'!$B$5+1)/'Dashboard'!$B$9,0)</x:f>
        <x:v>489657</x:v>
      </x:c>
      <x:c r="L13" s="95" t="str">
        <x:f>IF(I13="","",I13-K13)</x:f>
      </x:c>
      <x:c r="M13" s="95"/>
      <x:c r="N13" s="95"/>
      <x:c r="O13" s="102" t="str">
        <x:f>IF(OR(M13="",N13="",M13=0),"",N13/M13*1000)</x:f>
      </x:c>
      <x:c r="P13" s="102"/>
      <x:c r="Q13" s="102"/>
      <x:c r="R13" s="102"/>
      <x:c r="S13" s="102"/>
      <x:c r="T13" s="102"/>
      <x:c r="U13" s="102" t="str">
        <x:f>IF(OR(M13="",M13=0,P13=""),"",P13/M13*1000)</x:f>
      </x:c>
      <x:c r="V13" s="102" t="str">
        <x:f>IF(OR(M13="",M13=0,Q13=""),"",Q13/M13*1000)</x:f>
      </x:c>
      <x:c r="W13" s="102" t="str">
        <x:f>IF(OR(M13="",M13=0,R13=""),"",R13/M13*1000)</x:f>
      </x:c>
      <x:c r="X13" s="102" t="str">
        <x:f>IF(OR(M13="",M13=0,S13=""),"",S13/M13*1000)</x:f>
      </x:c>
      <x:c r="Y13" s="102" t="str">
        <x:f>IF(OR(M13="",M13=0,T13=""),"",T13/M13*1000)</x:f>
      </x:c>
      <x:c r="Z13" s="105"/>
      <x:c r="AA13" s="108"/>
      <x:c r="AB13" s="95"/>
      <x:c r="AC13" s="108"/>
      <x:c r="AD13" s="62"/>
    </x:row>
    <x:row r="14">
      <x:c r="A14" s="73" t="n">
        <x:v>46314.5</x:v>
      </x:c>
      <x:c r="B14" s="73" t="n">
        <x:v>46320.5</x:v>
      </x:c>
      <x:c r="C14" s="95"/>
      <x:c r="D14" s="95"/>
      <x:c r="E14" s="95"/>
      <x:c r="F14" s="95"/>
      <x:c r="G14" s="95"/>
      <x:c r="H14" s="95"/>
      <x:c r="I14" s="95" t="str">
        <x:f>IF(COUNT(D14,F14,H14)=0,"",SUM(D14,F14,H14))</x:f>
      </x:c>
      <x:c r="J14" s="95" t="str">
        <x:f>IF(I14="","",I14-I13)</x:f>
      </x:c>
      <x:c r="K14" s="95" t="n">
        <x:f>ROUND('Dashboard'!$B$6+'Dashboard'!$B$8*MIN('Dashboard'!$B$9,B14-'Dashboard'!$B$5+1)/'Dashboard'!$B$9,0)</x:f>
        <x:v>537933</x:v>
      </x:c>
      <x:c r="L14" s="95" t="str">
        <x:f>IF(I14="","",I14-K14)</x:f>
      </x:c>
      <x:c r="M14" s="95"/>
      <x:c r="N14" s="95"/>
      <x:c r="O14" s="102" t="str">
        <x:f>IF(OR(M14="",N14="",M14=0),"",N14/M14*1000)</x:f>
      </x:c>
      <x:c r="P14" s="102"/>
      <x:c r="Q14" s="102"/>
      <x:c r="R14" s="102"/>
      <x:c r="S14" s="102"/>
      <x:c r="T14" s="102"/>
      <x:c r="U14" s="102" t="str">
        <x:f>IF(OR(M14="",M14=0,P14=""),"",P14/M14*1000)</x:f>
      </x:c>
      <x:c r="V14" s="102" t="str">
        <x:f>IF(OR(M14="",M14=0,Q14=""),"",Q14/M14*1000)</x:f>
      </x:c>
      <x:c r="W14" s="102" t="str">
        <x:f>IF(OR(M14="",M14=0,R14=""),"",R14/M14*1000)</x:f>
      </x:c>
      <x:c r="X14" s="102" t="str">
        <x:f>IF(OR(M14="",M14=0,S14=""),"",S14/M14*1000)</x:f>
      </x:c>
      <x:c r="Y14" s="102" t="str">
        <x:f>IF(OR(M14="",M14=0,T14=""),"",T14/M14*1000)</x:f>
      </x:c>
      <x:c r="Z14" s="105"/>
      <x:c r="AA14" s="108"/>
      <x:c r="AB14" s="95"/>
      <x:c r="AC14" s="108"/>
      <x:c r="AD14" s="62"/>
    </x:row>
    <x:row r="15">
      <x:c r="A15" s="73" t="n">
        <x:v>46321.5</x:v>
      </x:c>
      <x:c r="B15" s="73" t="n">
        <x:v>46327.5</x:v>
      </x:c>
      <x:c r="C15" s="95"/>
      <x:c r="D15" s="95"/>
      <x:c r="E15" s="95"/>
      <x:c r="F15" s="95"/>
      <x:c r="G15" s="95"/>
      <x:c r="H15" s="95"/>
      <x:c r="I15" s="95" t="str">
        <x:f>IF(COUNT(D15,F15,H15)=0,"",SUM(D15,F15,H15))</x:f>
      </x:c>
      <x:c r="J15" s="95" t="str">
        <x:f>IF(I15="","",I15-I14)</x:f>
      </x:c>
      <x:c r="K15" s="95" t="n">
        <x:f>ROUND('Dashboard'!$B$6+'Dashboard'!$B$8*MIN('Dashboard'!$B$9,B15-'Dashboard'!$B$5+1)/'Dashboard'!$B$9,0)</x:f>
        <x:v>586209</x:v>
      </x:c>
      <x:c r="L15" s="95" t="str">
        <x:f>IF(I15="","",I15-K15)</x:f>
      </x:c>
      <x:c r="M15" s="95"/>
      <x:c r="N15" s="95"/>
      <x:c r="O15" s="102" t="str">
        <x:f>IF(OR(M15="",N15="",M15=0),"",N15/M15*1000)</x:f>
      </x:c>
      <x:c r="P15" s="102"/>
      <x:c r="Q15" s="102"/>
      <x:c r="R15" s="102"/>
      <x:c r="S15" s="102"/>
      <x:c r="T15" s="102"/>
      <x:c r="U15" s="102" t="str">
        <x:f>IF(OR(M15="",M15=0,P15=""),"",P15/M15*1000)</x:f>
      </x:c>
      <x:c r="V15" s="102" t="str">
        <x:f>IF(OR(M15="",M15=0,Q15=""),"",Q15/M15*1000)</x:f>
      </x:c>
      <x:c r="W15" s="102" t="str">
        <x:f>IF(OR(M15="",M15=0,R15=""),"",R15/M15*1000)</x:f>
      </x:c>
      <x:c r="X15" s="102" t="str">
        <x:f>IF(OR(M15="",M15=0,S15=""),"",S15/M15*1000)</x:f>
      </x:c>
      <x:c r="Y15" s="102" t="str">
        <x:f>IF(OR(M15="",M15=0,T15=""),"",T15/M15*1000)</x:f>
      </x:c>
      <x:c r="Z15" s="105"/>
      <x:c r="AA15" s="108"/>
      <x:c r="AB15" s="95"/>
      <x:c r="AC15" s="108"/>
      <x:c r="AD15" s="62"/>
    </x:row>
    <x:row r="16">
      <x:c r="A16" s="73" t="n">
        <x:v>46328.5</x:v>
      </x:c>
      <x:c r="B16" s="73" t="n">
        <x:v>46334.5</x:v>
      </x:c>
      <x:c r="C16" s="95"/>
      <x:c r="D16" s="95"/>
      <x:c r="E16" s="95"/>
      <x:c r="F16" s="95"/>
      <x:c r="G16" s="95"/>
      <x:c r="H16" s="95"/>
      <x:c r="I16" s="95" t="str">
        <x:f>IF(COUNT(D16,F16,H16)=0,"",SUM(D16,F16,H16))</x:f>
      </x:c>
      <x:c r="J16" s="95" t="str">
        <x:f>IF(I16="","",I16-I15)</x:f>
      </x:c>
      <x:c r="K16" s="95" t="n">
        <x:f>ROUND('Dashboard'!$B$6+'Dashboard'!$B$8*MIN('Dashboard'!$B$9,B16-'Dashboard'!$B$5+1)/'Dashboard'!$B$9,0)</x:f>
        <x:v>634484</x:v>
      </x:c>
      <x:c r="L16" s="95" t="str">
        <x:f>IF(I16="","",I16-K16)</x:f>
      </x:c>
      <x:c r="M16" s="95"/>
      <x:c r="N16" s="95"/>
      <x:c r="O16" s="102" t="str">
        <x:f>IF(OR(M16="",N16="",M16=0),"",N16/M16*1000)</x:f>
      </x:c>
      <x:c r="P16" s="102"/>
      <x:c r="Q16" s="102"/>
      <x:c r="R16" s="102"/>
      <x:c r="S16" s="102"/>
      <x:c r="T16" s="102"/>
      <x:c r="U16" s="102" t="str">
        <x:f>IF(OR(M16="",M16=0,P16=""),"",P16/M16*1000)</x:f>
      </x:c>
      <x:c r="V16" s="102" t="str">
        <x:f>IF(OR(M16="",M16=0,Q16=""),"",Q16/M16*1000)</x:f>
      </x:c>
      <x:c r="W16" s="102" t="str">
        <x:f>IF(OR(M16="",M16=0,R16=""),"",R16/M16*1000)</x:f>
      </x:c>
      <x:c r="X16" s="102" t="str">
        <x:f>IF(OR(M16="",M16=0,S16=""),"",S16/M16*1000)</x:f>
      </x:c>
      <x:c r="Y16" s="102" t="str">
        <x:f>IF(OR(M16="",M16=0,T16=""),"",T16/M16*1000)</x:f>
      </x:c>
      <x:c r="Z16" s="105"/>
      <x:c r="AA16" s="108"/>
      <x:c r="AB16" s="95"/>
      <x:c r="AC16" s="108"/>
      <x:c r="AD16" s="62"/>
    </x:row>
    <x:row r="17">
      <x:c r="A17" s="73" t="n">
        <x:v>46335.5</x:v>
      </x:c>
      <x:c r="B17" s="73" t="n">
        <x:v>46341.5</x:v>
      </x:c>
      <x:c r="C17" s="95"/>
      <x:c r="D17" s="95"/>
      <x:c r="E17" s="95"/>
      <x:c r="F17" s="95"/>
      <x:c r="G17" s="95"/>
      <x:c r="H17" s="95"/>
      <x:c r="I17" s="95" t="str">
        <x:f>IF(COUNT(D17,F17,H17)=0,"",SUM(D17,F17,H17))</x:f>
      </x:c>
      <x:c r="J17" s="95" t="str">
        <x:f>IF(I17="","",I17-I16)</x:f>
      </x:c>
      <x:c r="K17" s="95" t="n">
        <x:f>ROUND('Dashboard'!$B$6+'Dashboard'!$B$8*MIN('Dashboard'!$B$9,B17-'Dashboard'!$B$5+1)/'Dashboard'!$B$9,0)</x:f>
        <x:v>682760</x:v>
      </x:c>
      <x:c r="L17" s="95" t="str">
        <x:f>IF(I17="","",I17-K17)</x:f>
      </x:c>
      <x:c r="M17" s="95"/>
      <x:c r="N17" s="95"/>
      <x:c r="O17" s="102" t="str">
        <x:f>IF(OR(M17="",N17="",M17=0),"",N17/M17*1000)</x:f>
      </x:c>
      <x:c r="P17" s="102"/>
      <x:c r="Q17" s="102"/>
      <x:c r="R17" s="102"/>
      <x:c r="S17" s="102"/>
      <x:c r="T17" s="102"/>
      <x:c r="U17" s="102" t="str">
        <x:f>IF(OR(M17="",M17=0,P17=""),"",P17/M17*1000)</x:f>
      </x:c>
      <x:c r="V17" s="102" t="str">
        <x:f>IF(OR(M17="",M17=0,Q17=""),"",Q17/M17*1000)</x:f>
      </x:c>
      <x:c r="W17" s="102" t="str">
        <x:f>IF(OR(M17="",M17=0,R17=""),"",R17/M17*1000)</x:f>
      </x:c>
      <x:c r="X17" s="102" t="str">
        <x:f>IF(OR(M17="",M17=0,S17=""),"",S17/M17*1000)</x:f>
      </x:c>
      <x:c r="Y17" s="102" t="str">
        <x:f>IF(OR(M17="",M17=0,T17=""),"",T17/M17*1000)</x:f>
      </x:c>
      <x:c r="Z17" s="105"/>
      <x:c r="AA17" s="108"/>
      <x:c r="AB17" s="95"/>
      <x:c r="AC17" s="108"/>
      <x:c r="AD17" s="62"/>
    </x:row>
    <x:row r="18">
      <x:c r="A18" s="73" t="n">
        <x:v>46342.5</x:v>
      </x:c>
      <x:c r="B18" s="73" t="n">
        <x:v>46348.5</x:v>
      </x:c>
      <x:c r="C18" s="95"/>
      <x:c r="D18" s="95"/>
      <x:c r="E18" s="95"/>
      <x:c r="F18" s="95"/>
      <x:c r="G18" s="95"/>
      <x:c r="H18" s="95"/>
      <x:c r="I18" s="95" t="str">
        <x:f>IF(COUNT(D18,F18,H18)=0,"",SUM(D18,F18,H18))</x:f>
      </x:c>
      <x:c r="J18" s="95" t="str">
        <x:f>IF(I18="","",I18-I17)</x:f>
      </x:c>
      <x:c r="K18" s="95" t="n">
        <x:f>ROUND('Dashboard'!$B$6+'Dashboard'!$B$8*MIN('Dashboard'!$B$9,B18-'Dashboard'!$B$5+1)/'Dashboard'!$B$9,0)</x:f>
        <x:v>731036</x:v>
      </x:c>
      <x:c r="L18" s="95" t="str">
        <x:f>IF(I18="","",I18-K18)</x:f>
      </x:c>
      <x:c r="M18" s="95"/>
      <x:c r="N18" s="95"/>
      <x:c r="O18" s="102" t="str">
        <x:f>IF(OR(M18="",N18="",M18=0),"",N18/M18*1000)</x:f>
      </x:c>
      <x:c r="P18" s="102"/>
      <x:c r="Q18" s="102"/>
      <x:c r="R18" s="102"/>
      <x:c r="S18" s="102"/>
      <x:c r="T18" s="102"/>
      <x:c r="U18" s="102" t="str">
        <x:f>IF(OR(M18="",M18=0,P18=""),"",P18/M18*1000)</x:f>
      </x:c>
      <x:c r="V18" s="102" t="str">
        <x:f>IF(OR(M18="",M18=0,Q18=""),"",Q18/M18*1000)</x:f>
      </x:c>
      <x:c r="W18" s="102" t="str">
        <x:f>IF(OR(M18="",M18=0,R18=""),"",R18/M18*1000)</x:f>
      </x:c>
      <x:c r="X18" s="102" t="str">
        <x:f>IF(OR(M18="",M18=0,S18=""),"",S18/M18*1000)</x:f>
      </x:c>
      <x:c r="Y18" s="102" t="str">
        <x:f>IF(OR(M18="",M18=0,T18=""),"",T18/M18*1000)</x:f>
      </x:c>
      <x:c r="Z18" s="105"/>
      <x:c r="AA18" s="108"/>
      <x:c r="AB18" s="95"/>
      <x:c r="AC18" s="108"/>
      <x:c r="AD18" s="62"/>
    </x:row>
    <x:row r="19">
      <x:c r="A19" s="73" t="n">
        <x:v>46349.5</x:v>
      </x:c>
      <x:c r="B19" s="73" t="n">
        <x:v>46355.5</x:v>
      </x:c>
      <x:c r="C19" s="95"/>
      <x:c r="D19" s="95"/>
      <x:c r="E19" s="95"/>
      <x:c r="F19" s="95"/>
      <x:c r="G19" s="95"/>
      <x:c r="H19" s="95"/>
      <x:c r="I19" s="95" t="str">
        <x:f>IF(COUNT(D19,F19,H19)=0,"",SUM(D19,F19,H19))</x:f>
      </x:c>
      <x:c r="J19" s="95" t="str">
        <x:f>IF(I19="","",I19-I18)</x:f>
      </x:c>
      <x:c r="K19" s="95" t="n">
        <x:f>ROUND('Dashboard'!$B$6+'Dashboard'!$B$8*MIN('Dashboard'!$B$9,B19-'Dashboard'!$B$5+1)/'Dashboard'!$B$9,0)</x:f>
        <x:v>779311</x:v>
      </x:c>
      <x:c r="L19" s="95" t="str">
        <x:f>IF(I19="","",I19-K19)</x:f>
      </x:c>
      <x:c r="M19" s="95"/>
      <x:c r="N19" s="95"/>
      <x:c r="O19" s="102" t="str">
        <x:f>IF(OR(M19="",N19="",M19=0),"",N19/M19*1000)</x:f>
      </x:c>
      <x:c r="P19" s="102"/>
      <x:c r="Q19" s="102"/>
      <x:c r="R19" s="102"/>
      <x:c r="S19" s="102"/>
      <x:c r="T19" s="102"/>
      <x:c r="U19" s="102" t="str">
        <x:f>IF(OR(M19="",M19=0,P19=""),"",P19/M19*1000)</x:f>
      </x:c>
      <x:c r="V19" s="102" t="str">
        <x:f>IF(OR(M19="",M19=0,Q19=""),"",Q19/M19*1000)</x:f>
      </x:c>
      <x:c r="W19" s="102" t="str">
        <x:f>IF(OR(M19="",M19=0,R19=""),"",R19/M19*1000)</x:f>
      </x:c>
      <x:c r="X19" s="102" t="str">
        <x:f>IF(OR(M19="",M19=0,S19=""),"",S19/M19*1000)</x:f>
      </x:c>
      <x:c r="Y19" s="102" t="str">
        <x:f>IF(OR(M19="",M19=0,T19=""),"",T19/M19*1000)</x:f>
      </x:c>
      <x:c r="Z19" s="105"/>
      <x:c r="AA19" s="108"/>
      <x:c r="AB19" s="95"/>
      <x:c r="AC19" s="108"/>
      <x:c r="AD19" s="62"/>
    </x:row>
    <x:row r="20">
      <x:c r="A20" s="73" t="n">
        <x:v>46356.5</x:v>
      </x:c>
      <x:c r="B20" s="73" t="n">
        <x:v>46362.5</x:v>
      </x:c>
      <x:c r="C20" s="95"/>
      <x:c r="D20" s="95"/>
      <x:c r="E20" s="95"/>
      <x:c r="F20" s="95"/>
      <x:c r="G20" s="95"/>
      <x:c r="H20" s="95"/>
      <x:c r="I20" s="95" t="str">
        <x:f>IF(COUNT(D20,F20,H20)=0,"",SUM(D20,F20,H20))</x:f>
      </x:c>
      <x:c r="J20" s="95" t="str">
        <x:f>IF(I20="","",I20-I19)</x:f>
      </x:c>
      <x:c r="K20" s="95" t="n">
        <x:f>ROUND('Dashboard'!$B$6+'Dashboard'!$B$8*MIN('Dashboard'!$B$9,B20-'Dashboard'!$B$5+1)/'Dashboard'!$B$9,0)</x:f>
        <x:v>827587</x:v>
      </x:c>
      <x:c r="L20" s="95" t="str">
        <x:f>IF(I20="","",I20-K20)</x:f>
      </x:c>
      <x:c r="M20" s="95"/>
      <x:c r="N20" s="95"/>
      <x:c r="O20" s="102" t="str">
        <x:f>IF(OR(M20="",N20="",M20=0),"",N20/M20*1000)</x:f>
      </x:c>
      <x:c r="P20" s="102"/>
      <x:c r="Q20" s="102"/>
      <x:c r="R20" s="102"/>
      <x:c r="S20" s="102"/>
      <x:c r="T20" s="102"/>
      <x:c r="U20" s="102" t="str">
        <x:f>IF(OR(M20="",M20=0,P20=""),"",P20/M20*1000)</x:f>
      </x:c>
      <x:c r="V20" s="102" t="str">
        <x:f>IF(OR(M20="",M20=0,Q20=""),"",Q20/M20*1000)</x:f>
      </x:c>
      <x:c r="W20" s="102" t="str">
        <x:f>IF(OR(M20="",M20=0,R20=""),"",R20/M20*1000)</x:f>
      </x:c>
      <x:c r="X20" s="102" t="str">
        <x:f>IF(OR(M20="",M20=0,S20=""),"",S20/M20*1000)</x:f>
      </x:c>
      <x:c r="Y20" s="102" t="str">
        <x:f>IF(OR(M20="",M20=0,T20=""),"",T20/M20*1000)</x:f>
      </x:c>
      <x:c r="Z20" s="105"/>
      <x:c r="AA20" s="108"/>
      <x:c r="AB20" s="95"/>
      <x:c r="AC20" s="108"/>
      <x:c r="AD20" s="62"/>
    </x:row>
    <x:row r="21">
      <x:c r="A21" s="73" t="n">
        <x:v>46363.5</x:v>
      </x:c>
      <x:c r="B21" s="73" t="n">
        <x:v>46369.5</x:v>
      </x:c>
      <x:c r="C21" s="95"/>
      <x:c r="D21" s="95"/>
      <x:c r="E21" s="95"/>
      <x:c r="F21" s="95"/>
      <x:c r="G21" s="95"/>
      <x:c r="H21" s="95"/>
      <x:c r="I21" s="95" t="str">
        <x:f>IF(COUNT(D21,F21,H21)=0,"",SUM(D21,F21,H21))</x:f>
      </x:c>
      <x:c r="J21" s="95" t="str">
        <x:f>IF(I21="","",I21-I20)</x:f>
      </x:c>
      <x:c r="K21" s="95" t="n">
        <x:f>ROUND('Dashboard'!$B$6+'Dashboard'!$B$8*MIN('Dashboard'!$B$9,B21-'Dashboard'!$B$5+1)/'Dashboard'!$B$9,0)</x:f>
        <x:v>875863</x:v>
      </x:c>
      <x:c r="L21" s="95" t="str">
        <x:f>IF(I21="","",I21-K21)</x:f>
      </x:c>
      <x:c r="M21" s="95"/>
      <x:c r="N21" s="95"/>
      <x:c r="O21" s="102" t="str">
        <x:f>IF(OR(M21="",N21="",M21=0),"",N21/M21*1000)</x:f>
      </x:c>
      <x:c r="P21" s="102"/>
      <x:c r="Q21" s="102"/>
      <x:c r="R21" s="102"/>
      <x:c r="S21" s="102"/>
      <x:c r="T21" s="102"/>
      <x:c r="U21" s="102" t="str">
        <x:f>IF(OR(M21="",M21=0,P21=""),"",P21/M21*1000)</x:f>
      </x:c>
      <x:c r="V21" s="102" t="str">
        <x:f>IF(OR(M21="",M21=0,Q21=""),"",Q21/M21*1000)</x:f>
      </x:c>
      <x:c r="W21" s="102" t="str">
        <x:f>IF(OR(M21="",M21=0,R21=""),"",R21/M21*1000)</x:f>
      </x:c>
      <x:c r="X21" s="102" t="str">
        <x:f>IF(OR(M21="",M21=0,S21=""),"",S21/M21*1000)</x:f>
      </x:c>
      <x:c r="Y21" s="102" t="str">
        <x:f>IF(OR(M21="",M21=0,T21=""),"",T21/M21*1000)</x:f>
      </x:c>
      <x:c r="Z21" s="105"/>
      <x:c r="AA21" s="108"/>
      <x:c r="AB21" s="95"/>
      <x:c r="AC21" s="108"/>
      <x:c r="AD21" s="62"/>
    </x:row>
    <x:row r="22">
      <x:c r="A22" s="73" t="n">
        <x:v>46370.5</x:v>
      </x:c>
      <x:c r="B22" s="73" t="n">
        <x:v>46376.5</x:v>
      </x:c>
      <x:c r="C22" s="95"/>
      <x:c r="D22" s="95"/>
      <x:c r="E22" s="95"/>
      <x:c r="F22" s="95"/>
      <x:c r="G22" s="95"/>
      <x:c r="H22" s="95"/>
      <x:c r="I22" s="95" t="str">
        <x:f>IF(COUNT(D22,F22,H22)=0,"",SUM(D22,F22,H22))</x:f>
      </x:c>
      <x:c r="J22" s="95" t="str">
        <x:f>IF(I22="","",I22-I21)</x:f>
      </x:c>
      <x:c r="K22" s="95" t="n">
        <x:f>ROUND('Dashboard'!$B$6+'Dashboard'!$B$8*MIN('Dashboard'!$B$9,B22-'Dashboard'!$B$5+1)/'Dashboard'!$B$9,0)</x:f>
        <x:v>924138</x:v>
      </x:c>
      <x:c r="L22" s="95" t="str">
        <x:f>IF(I22="","",I22-K22)</x:f>
      </x:c>
      <x:c r="M22" s="95"/>
      <x:c r="N22" s="95"/>
      <x:c r="O22" s="102" t="str">
        <x:f>IF(OR(M22="",N22="",M22=0),"",N22/M22*1000)</x:f>
      </x:c>
      <x:c r="P22" s="102"/>
      <x:c r="Q22" s="102"/>
      <x:c r="R22" s="102"/>
      <x:c r="S22" s="102"/>
      <x:c r="T22" s="102"/>
      <x:c r="U22" s="102" t="str">
        <x:f>IF(OR(M22="",M22=0,P22=""),"",P22/M22*1000)</x:f>
      </x:c>
      <x:c r="V22" s="102" t="str">
        <x:f>IF(OR(M22="",M22=0,Q22=""),"",Q22/M22*1000)</x:f>
      </x:c>
      <x:c r="W22" s="102" t="str">
        <x:f>IF(OR(M22="",M22=0,R22=""),"",R22/M22*1000)</x:f>
      </x:c>
      <x:c r="X22" s="102" t="str">
        <x:f>IF(OR(M22="",M22=0,S22=""),"",S22/M22*1000)</x:f>
      </x:c>
      <x:c r="Y22" s="102" t="str">
        <x:f>IF(OR(M22="",M22=0,T22=""),"",T22/M22*1000)</x:f>
      </x:c>
      <x:c r="Z22" s="105"/>
      <x:c r="AA22" s="108"/>
      <x:c r="AB22" s="95"/>
      <x:c r="AC22" s="108"/>
      <x:c r="AD22" s="62"/>
    </x:row>
    <x:row r="23">
      <x:c r="A23" s="73" t="n">
        <x:v>46377.5</x:v>
      </x:c>
      <x:c r="B23" s="73" t="n">
        <x:v>46383.5</x:v>
      </x:c>
      <x:c r="C23" s="95"/>
      <x:c r="D23" s="95"/>
      <x:c r="E23" s="95"/>
      <x:c r="F23" s="95"/>
      <x:c r="G23" s="95"/>
      <x:c r="H23" s="95"/>
      <x:c r="I23" s="95" t="str">
        <x:f>IF(COUNT(D23,F23,H23)=0,"",SUM(D23,F23,H23))</x:f>
      </x:c>
      <x:c r="J23" s="95" t="str">
        <x:f>IF(I23="","",I23-I22)</x:f>
      </x:c>
      <x:c r="K23" s="95" t="n">
        <x:f>ROUND('Dashboard'!$B$6+'Dashboard'!$B$8*MIN('Dashboard'!$B$9,B23-'Dashboard'!$B$5+1)/'Dashboard'!$B$9,0)</x:f>
        <x:v>972414</x:v>
      </x:c>
      <x:c r="L23" s="95" t="str">
        <x:f>IF(I23="","",I23-K23)</x:f>
      </x:c>
      <x:c r="M23" s="95"/>
      <x:c r="N23" s="95"/>
      <x:c r="O23" s="102" t="str">
        <x:f>IF(OR(M23="",N23="",M23=0),"",N23/M23*1000)</x:f>
      </x:c>
      <x:c r="P23" s="102"/>
      <x:c r="Q23" s="102"/>
      <x:c r="R23" s="102"/>
      <x:c r="S23" s="102"/>
      <x:c r="T23" s="102"/>
      <x:c r="U23" s="102" t="str">
        <x:f>IF(OR(M23="",M23=0,P23=""),"",P23/M23*1000)</x:f>
      </x:c>
      <x:c r="V23" s="102" t="str">
        <x:f>IF(OR(M23="",M23=0,Q23=""),"",Q23/M23*1000)</x:f>
      </x:c>
      <x:c r="W23" s="102" t="str">
        <x:f>IF(OR(M23="",M23=0,R23=""),"",R23/M23*1000)</x:f>
      </x:c>
      <x:c r="X23" s="102" t="str">
        <x:f>IF(OR(M23="",M23=0,S23=""),"",S23/M23*1000)</x:f>
      </x:c>
      <x:c r="Y23" s="102" t="str">
        <x:f>IF(OR(M23="",M23=0,T23=""),"",T23/M23*1000)</x:f>
      </x:c>
      <x:c r="Z23" s="105"/>
      <x:c r="AA23" s="108"/>
      <x:c r="AB23" s="95"/>
      <x:c r="AC23" s="108"/>
      <x:c r="AD23" s="62"/>
    </x:row>
    <x:row r="24">
      <x:c r="A24" s="74" t="n">
        <x:v>46384.5</x:v>
      </x:c>
      <x:c r="B24" s="74" t="n">
        <x:v>46387.5</x:v>
      </x:c>
      <x:c r="C24" s="96"/>
      <x:c r="D24" s="96"/>
      <x:c r="E24" s="96"/>
      <x:c r="F24" s="96"/>
      <x:c r="G24" s="96"/>
      <x:c r="H24" s="96"/>
      <x:c r="I24" s="96" t="str">
        <x:f>IF(COUNT(D24,F24,H24)=0,"",SUM(D24,F24,H24))</x:f>
      </x:c>
      <x:c r="J24" s="96" t="str">
        <x:f>IF(I24="","",I24-I23)</x:f>
      </x:c>
      <x:c r="K24" s="96" t="n">
        <x:f>ROUND('Dashboard'!$B$6+'Dashboard'!$B$8*MIN('Dashboard'!$B$9,B24-'Dashboard'!$B$5+1)/'Dashboard'!$B$9,0)</x:f>
        <x:v>1000000</x:v>
      </x:c>
      <x:c r="L24" s="96" t="str">
        <x:f>IF(I24="","",I24-K24)</x:f>
      </x:c>
      <x:c r="M24" s="96"/>
      <x:c r="N24" s="96"/>
      <x:c r="O24" s="103" t="str">
        <x:f>IF(OR(M24="",N24="",M24=0),"",N24/M24*1000)</x:f>
      </x:c>
      <x:c r="P24" s="103"/>
      <x:c r="Q24" s="103"/>
      <x:c r="R24" s="103"/>
      <x:c r="S24" s="103"/>
      <x:c r="T24" s="103"/>
      <x:c r="U24" s="103" t="str">
        <x:f>IF(OR(M24="",M24=0,P24=""),"",P24/M24*1000)</x:f>
      </x:c>
      <x:c r="V24" s="103" t="str">
        <x:f>IF(OR(M24="",M24=0,Q24=""),"",Q24/M24*1000)</x:f>
      </x:c>
      <x:c r="W24" s="103" t="str">
        <x:f>IF(OR(M24="",M24=0,R24=""),"",R24/M24*1000)</x:f>
      </x:c>
      <x:c r="X24" s="103" t="str">
        <x:f>IF(OR(M24="",M24=0,S24=""),"",S24/M24*1000)</x:f>
      </x:c>
      <x:c r="Y24" s="103" t="str">
        <x:f>IF(OR(M24="",M24=0,T24=""),"",T24/M24*1000)</x:f>
      </x:c>
      <x:c r="Z24" s="106"/>
      <x:c r="AA24" s="109"/>
      <x:c r="AB24" s="96"/>
      <x:c r="AC24" s="109"/>
      <x:c r="AD24" s="63"/>
    </x:row>
  </x:sheetData>
  <x:mergeCells>
    <x:mergeCell ref="A1:AD1"/>
    <x:mergeCell ref="A2:A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3" hidden="0" customWidth="1"/>
    <x:col min="4" max="4" width="20" hidden="0" customWidth="1"/>
    <x:col min="5" max="5" width="21" hidden="0" customWidth="1"/>
    <x:col min="6" max="6" width="23" hidden="0" customWidth="1"/>
    <x:col min="7" max="7" width="23" hidden="0" customWidth="1"/>
    <x:col min="8" max="8" width="34" hidden="0" customWidth="1"/>
    <x:col min="9" max="9" width="34" hidden="0" customWidth="1"/>
    <x:col min="10" max="10" width="18" hidden="0" customWidth="1"/>
    <x:col min="11" max="11" width="18" hidden="0" customWidth="1"/>
  </x:cols>
  <x:sheetData>
    <x:row r="1" ht="34" customHeight="1">
      <x:c r="A1" s="4" t="str">
        <x:v>30-Post Owner Approval Queue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" customHeight="1">
      <x:c r="A2" s="8" t="str">
        <x:v>Every row is local only. Approve / Deny / Revise is a content decision, not permission to schedule or publish.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30" customHeight="1">
      <x:c r="A3" s="17" t="str">
        <x:v>Record ID</x:v>
      </x:c>
      <x:c r="B3" s="44" t="str">
        <x:v>Concept</x:v>
      </x:c>
      <x:c r="C3" s="44" t="str">
        <x:v>Platform</x:v>
      </x:c>
      <x:c r="D3" s="44" t="str">
        <x:v>Proposed local time</x:v>
      </x:c>
      <x:c r="E3" s="44" t="str">
        <x:v>Timezone</x:v>
      </x:c>
      <x:c r="F3" s="44" t="str">
        <x:v>Queue status</x:v>
      </x:c>
      <x:c r="G3" s="44" t="str">
        <x:v>Owner decision</x:v>
      </x:c>
      <x:c r="H3" s="44" t="str">
        <x:v>Image path</x:v>
      </x:c>
      <x:c r="I3" s="44" t="str">
        <x:v>Caption location</x:v>
      </x:c>
      <x:c r="J3" s="44" t="str">
        <x:v>AI disclosure required</x:v>
      </x:c>
      <x:c r="K3" s="18" t="str">
        <x:v>Externally scheduled</x:v>
      </x:c>
    </x:row>
    <x:row r="4">
      <x:c r="A4" s="61" t="str">
        <x:v>AKI-01-IG</x:v>
      </x:c>
      <x:c r="B4" s="61" t="str">
        <x:v>01</x:v>
      </x:c>
      <x:c r="C4" s="61" t="str">
        <x:v>Instagram</x:v>
      </x:c>
      <x:c r="D4" s="61" t="str">
        <x:v>2026-08-10 09:00</x:v>
      </x:c>
      <x:c r="E4" s="61" t="str">
        <x:v>America/Anchorage</x:v>
      </x:c>
      <x:c r="F4" s="61" t="str">
        <x:v>READY_FOR_OWNER_REVIEW</x:v>
      </x:c>
      <x:c r="G4" s="120" t="str">
        <x:v>PENDING</x:v>
      </x:c>
      <x:c r="H4" s="61" t="str">
        <x:v>images-v2/instagram/01.jpg</x:v>
      </x:c>
      <x:c r="I4" s="61" t="str">
        <x:v>APPROVAL-PACK.md#instagram-post-01</x:v>
      </x:c>
      <x:c r="J4" s="115" t="b">
        <x:v>1</x:v>
      </x:c>
      <x:c r="K4" s="115" t="b">
        <x:v>0</x:v>
      </x:c>
    </x:row>
    <x:row r="5">
      <x:c r="A5" s="62" t="str">
        <x:v>AKI-01-FB</x:v>
      </x:c>
      <x:c r="B5" s="62" t="str">
        <x:v>01</x:v>
      </x:c>
      <x:c r="C5" s="62" t="str">
        <x:v>Facebook</x:v>
      </x:c>
      <x:c r="D5" s="62" t="str">
        <x:v>2026-08-10 09:15</x:v>
      </x:c>
      <x:c r="E5" s="62" t="str">
        <x:v>America/Anchorage</x:v>
      </x:c>
      <x:c r="F5" s="62" t="str">
        <x:v>READY_FOR_OWNER_REVIEW</x:v>
      </x:c>
      <x:c r="G5" s="120" t="str">
        <x:v>PENDING</x:v>
      </x:c>
      <x:c r="H5" s="62" t="str">
        <x:v>images-v2/facebook/01.jpg</x:v>
      </x:c>
      <x:c r="I5" s="62" t="str">
        <x:v>APPROVAL-PACK.md#facebook-post-01</x:v>
      </x:c>
      <x:c r="J5" s="116" t="b">
        <x:v>1</x:v>
      </x:c>
      <x:c r="K5" s="116" t="b">
        <x:v>0</x:v>
      </x:c>
    </x:row>
    <x:row r="6">
      <x:c r="A6" s="62" t="str">
        <x:v>AKI-01-X</x:v>
      </x:c>
      <x:c r="B6" s="62" t="str">
        <x:v>01</x:v>
      </x:c>
      <x:c r="C6" s="62" t="str">
        <x:v>X</x:v>
      </x:c>
      <x:c r="D6" s="62" t="str">
        <x:v>2026-08-10 09:30</x:v>
      </x:c>
      <x:c r="E6" s="62" t="str">
        <x:v>America/Anchorage</x:v>
      </x:c>
      <x:c r="F6" s="62" t="str">
        <x:v>READY_FOR_OWNER_REVIEW</x:v>
      </x:c>
      <x:c r="G6" s="120" t="str">
        <x:v>PENDING</x:v>
      </x:c>
      <x:c r="H6" s="62" t="str">
        <x:v>images-v2/x/01.jpg</x:v>
      </x:c>
      <x:c r="I6" s="62" t="str">
        <x:v>APPROVAL-PACK.md#x-post-01</x:v>
      </x:c>
      <x:c r="J6" s="116" t="b">
        <x:v>1</x:v>
      </x:c>
      <x:c r="K6" s="116" t="b">
        <x:v>0</x:v>
      </x:c>
    </x:row>
    <x:row r="7">
      <x:c r="A7" s="62" t="str">
        <x:v>AKI-02-IG</x:v>
      </x:c>
      <x:c r="B7" s="62" t="str">
        <x:v>02</x:v>
      </x:c>
      <x:c r="C7" s="62" t="str">
        <x:v>Instagram</x:v>
      </x:c>
      <x:c r="D7" s="62" t="str">
        <x:v>2026-08-10 18:00</x:v>
      </x:c>
      <x:c r="E7" s="62" t="str">
        <x:v>America/Anchorage</x:v>
      </x:c>
      <x:c r="F7" s="62" t="str">
        <x:v>READY_FOR_OWNER_REVIEW</x:v>
      </x:c>
      <x:c r="G7" s="120" t="str">
        <x:v>PENDING</x:v>
      </x:c>
      <x:c r="H7" s="62" t="str">
        <x:v>images-v2/instagram/02.jpg</x:v>
      </x:c>
      <x:c r="I7" s="62" t="str">
        <x:v>APPROVAL-PACK.md#instagram-post-02</x:v>
      </x:c>
      <x:c r="J7" s="116" t="b">
        <x:v>1</x:v>
      </x:c>
      <x:c r="K7" s="116" t="b">
        <x:v>0</x:v>
      </x:c>
    </x:row>
    <x:row r="8">
      <x:c r="A8" s="62" t="str">
        <x:v>AKI-02-FB</x:v>
      </x:c>
      <x:c r="B8" s="62" t="str">
        <x:v>02</x:v>
      </x:c>
      <x:c r="C8" s="62" t="str">
        <x:v>Facebook</x:v>
      </x:c>
      <x:c r="D8" s="62" t="str">
        <x:v>2026-08-10 18:15</x:v>
      </x:c>
      <x:c r="E8" s="62" t="str">
        <x:v>America/Anchorage</x:v>
      </x:c>
      <x:c r="F8" s="62" t="str">
        <x:v>READY_FOR_OWNER_REVIEW</x:v>
      </x:c>
      <x:c r="G8" s="120" t="str">
        <x:v>PENDING</x:v>
      </x:c>
      <x:c r="H8" s="62" t="str">
        <x:v>images-v2/facebook/02.jpg</x:v>
      </x:c>
      <x:c r="I8" s="62" t="str">
        <x:v>APPROVAL-PACK.md#facebook-post-02</x:v>
      </x:c>
      <x:c r="J8" s="116" t="b">
        <x:v>1</x:v>
      </x:c>
      <x:c r="K8" s="116" t="b">
        <x:v>0</x:v>
      </x:c>
    </x:row>
    <x:row r="9">
      <x:c r="A9" s="62" t="str">
        <x:v>AKI-02-X</x:v>
      </x:c>
      <x:c r="B9" s="62" t="str">
        <x:v>02</x:v>
      </x:c>
      <x:c r="C9" s="62" t="str">
        <x:v>X</x:v>
      </x:c>
      <x:c r="D9" s="62" t="str">
        <x:v>2026-08-10 18:30</x:v>
      </x:c>
      <x:c r="E9" s="62" t="str">
        <x:v>America/Anchorage</x:v>
      </x:c>
      <x:c r="F9" s="62" t="str">
        <x:v>READY_FOR_OWNER_REVIEW</x:v>
      </x:c>
      <x:c r="G9" s="120" t="str">
        <x:v>PENDING</x:v>
      </x:c>
      <x:c r="H9" s="62" t="str">
        <x:v>images-v2/x/02.jpg</x:v>
      </x:c>
      <x:c r="I9" s="62" t="str">
        <x:v>APPROVAL-PACK.md#x-post-02</x:v>
      </x:c>
      <x:c r="J9" s="116" t="b">
        <x:v>1</x:v>
      </x:c>
      <x:c r="K9" s="116" t="b">
        <x:v>0</x:v>
      </x:c>
    </x:row>
    <x:row r="10">
      <x:c r="A10" s="62" t="str">
        <x:v>AKI-03-IG</x:v>
      </x:c>
      <x:c r="B10" s="62" t="str">
        <x:v>03</x:v>
      </x:c>
      <x:c r="C10" s="62" t="str">
        <x:v>Instagram</x:v>
      </x:c>
      <x:c r="D10" s="62" t="str">
        <x:v>2026-08-11 12:00</x:v>
      </x:c>
      <x:c r="E10" s="62" t="str">
        <x:v>America/Anchorage</x:v>
      </x:c>
      <x:c r="F10" s="62" t="str">
        <x:v>READY_FOR_OWNER_REVIEW</x:v>
      </x:c>
      <x:c r="G10" s="120" t="str">
        <x:v>PENDING</x:v>
      </x:c>
      <x:c r="H10" s="62" t="str">
        <x:v>images-v2/instagram/03.jpg</x:v>
      </x:c>
      <x:c r="I10" s="62" t="str">
        <x:v>APPROVAL-PACK.md#instagram-post-03</x:v>
      </x:c>
      <x:c r="J10" s="116" t="b">
        <x:v>1</x:v>
      </x:c>
      <x:c r="K10" s="116" t="b">
        <x:v>0</x:v>
      </x:c>
    </x:row>
    <x:row r="11">
      <x:c r="A11" s="62" t="str">
        <x:v>AKI-03-FB</x:v>
      </x:c>
      <x:c r="B11" s="62" t="str">
        <x:v>03</x:v>
      </x:c>
      <x:c r="C11" s="62" t="str">
        <x:v>Facebook</x:v>
      </x:c>
      <x:c r="D11" s="62" t="str">
        <x:v>2026-08-11 12:15</x:v>
      </x:c>
      <x:c r="E11" s="62" t="str">
        <x:v>America/Anchorage</x:v>
      </x:c>
      <x:c r="F11" s="62" t="str">
        <x:v>READY_FOR_OWNER_REVIEW</x:v>
      </x:c>
      <x:c r="G11" s="120" t="str">
        <x:v>PENDING</x:v>
      </x:c>
      <x:c r="H11" s="62" t="str">
        <x:v>images-v2/facebook/03.jpg</x:v>
      </x:c>
      <x:c r="I11" s="62" t="str">
        <x:v>APPROVAL-PACK.md#facebook-post-03</x:v>
      </x:c>
      <x:c r="J11" s="116" t="b">
        <x:v>1</x:v>
      </x:c>
      <x:c r="K11" s="116" t="b">
        <x:v>0</x:v>
      </x:c>
    </x:row>
    <x:row r="12">
      <x:c r="A12" s="62" t="str">
        <x:v>AKI-03-X</x:v>
      </x:c>
      <x:c r="B12" s="62" t="str">
        <x:v>03</x:v>
      </x:c>
      <x:c r="C12" s="62" t="str">
        <x:v>X</x:v>
      </x:c>
      <x:c r="D12" s="62" t="str">
        <x:v>2026-08-11 12:30</x:v>
      </x:c>
      <x:c r="E12" s="62" t="str">
        <x:v>America/Anchorage</x:v>
      </x:c>
      <x:c r="F12" s="62" t="str">
        <x:v>READY_FOR_OWNER_REVIEW</x:v>
      </x:c>
      <x:c r="G12" s="120" t="str">
        <x:v>PENDING</x:v>
      </x:c>
      <x:c r="H12" s="62" t="str">
        <x:v>images-v2/x/03.jpg</x:v>
      </x:c>
      <x:c r="I12" s="62" t="str">
        <x:v>APPROVAL-PACK.md#x-post-03</x:v>
      </x:c>
      <x:c r="J12" s="116" t="b">
        <x:v>1</x:v>
      </x:c>
      <x:c r="K12" s="116" t="b">
        <x:v>0</x:v>
      </x:c>
    </x:row>
    <x:row r="13">
      <x:c r="A13" s="62" t="str">
        <x:v>AKI-04-IG</x:v>
      </x:c>
      <x:c r="B13" s="62" t="str">
        <x:v>04</x:v>
      </x:c>
      <x:c r="C13" s="62" t="str">
        <x:v>Instagram</x:v>
      </x:c>
      <x:c r="D13" s="62" t="str">
        <x:v>2026-08-12 10:00</x:v>
      </x:c>
      <x:c r="E13" s="62" t="str">
        <x:v>America/Anchorage</x:v>
      </x:c>
      <x:c r="F13" s="62" t="str">
        <x:v>READY_FOR_OWNER_REVIEW</x:v>
      </x:c>
      <x:c r="G13" s="120" t="str">
        <x:v>PENDING</x:v>
      </x:c>
      <x:c r="H13" s="62" t="str">
        <x:v>images-v2/instagram/04.jpg</x:v>
      </x:c>
      <x:c r="I13" s="62" t="str">
        <x:v>APPROVAL-PACK.md#instagram-post-04</x:v>
      </x:c>
      <x:c r="J13" s="116" t="b">
        <x:v>1</x:v>
      </x:c>
      <x:c r="K13" s="116" t="b">
        <x:v>0</x:v>
      </x:c>
    </x:row>
    <x:row r="14">
      <x:c r="A14" s="62" t="str">
        <x:v>AKI-04-FB</x:v>
      </x:c>
      <x:c r="B14" s="62" t="str">
        <x:v>04</x:v>
      </x:c>
      <x:c r="C14" s="62" t="str">
        <x:v>Facebook</x:v>
      </x:c>
      <x:c r="D14" s="62" t="str">
        <x:v>2026-08-12 10:15</x:v>
      </x:c>
      <x:c r="E14" s="62" t="str">
        <x:v>America/Anchorage</x:v>
      </x:c>
      <x:c r="F14" s="62" t="str">
        <x:v>READY_FOR_OWNER_REVIEW</x:v>
      </x:c>
      <x:c r="G14" s="120" t="str">
        <x:v>PENDING</x:v>
      </x:c>
      <x:c r="H14" s="62" t="str">
        <x:v>images-v2/facebook/04.jpg</x:v>
      </x:c>
      <x:c r="I14" s="62" t="str">
        <x:v>APPROVAL-PACK.md#facebook-post-04</x:v>
      </x:c>
      <x:c r="J14" s="116" t="b">
        <x:v>1</x:v>
      </x:c>
      <x:c r="K14" s="116" t="b">
        <x:v>0</x:v>
      </x:c>
    </x:row>
    <x:row r="15">
      <x:c r="A15" s="62" t="str">
        <x:v>AKI-04-X</x:v>
      </x:c>
      <x:c r="B15" s="62" t="str">
        <x:v>04</x:v>
      </x:c>
      <x:c r="C15" s="62" t="str">
        <x:v>X</x:v>
      </x:c>
      <x:c r="D15" s="62" t="str">
        <x:v>2026-08-12 10:30</x:v>
      </x:c>
      <x:c r="E15" s="62" t="str">
        <x:v>America/Anchorage</x:v>
      </x:c>
      <x:c r="F15" s="62" t="str">
        <x:v>READY_FOR_OWNER_REVIEW</x:v>
      </x:c>
      <x:c r="G15" s="120" t="str">
        <x:v>PENDING</x:v>
      </x:c>
      <x:c r="H15" s="62" t="str">
        <x:v>images-v2/x/04.jpg</x:v>
      </x:c>
      <x:c r="I15" s="62" t="str">
        <x:v>APPROVAL-PACK.md#x-post-04</x:v>
      </x:c>
      <x:c r="J15" s="116" t="b">
        <x:v>1</x:v>
      </x:c>
      <x:c r="K15" s="116" t="b">
        <x:v>0</x:v>
      </x:c>
    </x:row>
    <x:row r="16">
      <x:c r="A16" s="62" t="str">
        <x:v>AKI-05-IG</x:v>
      </x:c>
      <x:c r="B16" s="62" t="str">
        <x:v>05</x:v>
      </x:c>
      <x:c r="C16" s="62" t="str">
        <x:v>Instagram</x:v>
      </x:c>
      <x:c r="D16" s="62" t="str">
        <x:v>2026-08-12 18:00</x:v>
      </x:c>
      <x:c r="E16" s="62" t="str">
        <x:v>America/Anchorage</x:v>
      </x:c>
      <x:c r="F16" s="62" t="str">
        <x:v>READY_FOR_OWNER_REVIEW</x:v>
      </x:c>
      <x:c r="G16" s="120" t="str">
        <x:v>PENDING</x:v>
      </x:c>
      <x:c r="H16" s="62" t="str">
        <x:v>images-v2/instagram/05.jpg</x:v>
      </x:c>
      <x:c r="I16" s="62" t="str">
        <x:v>APPROVAL-PACK.md#instagram-post-05</x:v>
      </x:c>
      <x:c r="J16" s="116" t="b">
        <x:v>1</x:v>
      </x:c>
      <x:c r="K16" s="116" t="b">
        <x:v>0</x:v>
      </x:c>
    </x:row>
    <x:row r="17">
      <x:c r="A17" s="62" t="str">
        <x:v>AKI-05-FB</x:v>
      </x:c>
      <x:c r="B17" s="62" t="str">
        <x:v>05</x:v>
      </x:c>
      <x:c r="C17" s="62" t="str">
        <x:v>Facebook</x:v>
      </x:c>
      <x:c r="D17" s="62" t="str">
        <x:v>2026-08-12 18:15</x:v>
      </x:c>
      <x:c r="E17" s="62" t="str">
        <x:v>America/Anchorage</x:v>
      </x:c>
      <x:c r="F17" s="62" t="str">
        <x:v>READY_FOR_OWNER_REVIEW</x:v>
      </x:c>
      <x:c r="G17" s="120" t="str">
        <x:v>PENDING</x:v>
      </x:c>
      <x:c r="H17" s="62" t="str">
        <x:v>images-v2/facebook/05.jpg</x:v>
      </x:c>
      <x:c r="I17" s="62" t="str">
        <x:v>APPROVAL-PACK.md#facebook-post-05</x:v>
      </x:c>
      <x:c r="J17" s="116" t="b">
        <x:v>1</x:v>
      </x:c>
      <x:c r="K17" s="116" t="b">
        <x:v>0</x:v>
      </x:c>
    </x:row>
    <x:row r="18">
      <x:c r="A18" s="62" t="str">
        <x:v>AKI-05-X</x:v>
      </x:c>
      <x:c r="B18" s="62" t="str">
        <x:v>05</x:v>
      </x:c>
      <x:c r="C18" s="62" t="str">
        <x:v>X</x:v>
      </x:c>
      <x:c r="D18" s="62" t="str">
        <x:v>2026-08-12 18:30</x:v>
      </x:c>
      <x:c r="E18" s="62" t="str">
        <x:v>America/Anchorage</x:v>
      </x:c>
      <x:c r="F18" s="62" t="str">
        <x:v>READY_FOR_OWNER_REVIEW</x:v>
      </x:c>
      <x:c r="G18" s="120" t="str">
        <x:v>PENDING</x:v>
      </x:c>
      <x:c r="H18" s="62" t="str">
        <x:v>images-v2/x/05.jpg</x:v>
      </x:c>
      <x:c r="I18" s="62" t="str">
        <x:v>APPROVAL-PACK.md#x-post-05</x:v>
      </x:c>
      <x:c r="J18" s="116" t="b">
        <x:v>1</x:v>
      </x:c>
      <x:c r="K18" s="116" t="b">
        <x:v>0</x:v>
      </x:c>
    </x:row>
    <x:row r="19">
      <x:c r="A19" s="62" t="str">
        <x:v>AKI-06-IG</x:v>
      </x:c>
      <x:c r="B19" s="62" t="str">
        <x:v>06</x:v>
      </x:c>
      <x:c r="C19" s="62" t="str">
        <x:v>Instagram</x:v>
      </x:c>
      <x:c r="D19" s="62" t="str">
        <x:v>2026-08-13 12:00</x:v>
      </x:c>
      <x:c r="E19" s="62" t="str">
        <x:v>America/Anchorage</x:v>
      </x:c>
      <x:c r="F19" s="62" t="str">
        <x:v>READY_FOR_OWNER_REVIEW</x:v>
      </x:c>
      <x:c r="G19" s="120" t="str">
        <x:v>PENDING</x:v>
      </x:c>
      <x:c r="H19" s="62" t="str">
        <x:v>images-v2/instagram/06.jpg</x:v>
      </x:c>
      <x:c r="I19" s="62" t="str">
        <x:v>APPROVAL-PACK.md#instagram-post-06</x:v>
      </x:c>
      <x:c r="J19" s="116" t="b">
        <x:v>1</x:v>
      </x:c>
      <x:c r="K19" s="116" t="b">
        <x:v>0</x:v>
      </x:c>
    </x:row>
    <x:row r="20">
      <x:c r="A20" s="62" t="str">
        <x:v>AKI-06-FB</x:v>
      </x:c>
      <x:c r="B20" s="62" t="str">
        <x:v>06</x:v>
      </x:c>
      <x:c r="C20" s="62" t="str">
        <x:v>Facebook</x:v>
      </x:c>
      <x:c r="D20" s="62" t="str">
        <x:v>2026-08-13 12:15</x:v>
      </x:c>
      <x:c r="E20" s="62" t="str">
        <x:v>America/Anchorage</x:v>
      </x:c>
      <x:c r="F20" s="62" t="str">
        <x:v>READY_FOR_OWNER_REVIEW</x:v>
      </x:c>
      <x:c r="G20" s="120" t="str">
        <x:v>PENDING</x:v>
      </x:c>
      <x:c r="H20" s="62" t="str">
        <x:v>images-v2/facebook/06.jpg</x:v>
      </x:c>
      <x:c r="I20" s="62" t="str">
        <x:v>APPROVAL-PACK.md#facebook-post-06</x:v>
      </x:c>
      <x:c r="J20" s="116" t="b">
        <x:v>1</x:v>
      </x:c>
      <x:c r="K20" s="116" t="b">
        <x:v>0</x:v>
      </x:c>
    </x:row>
    <x:row r="21">
      <x:c r="A21" s="62" t="str">
        <x:v>AKI-06-X</x:v>
      </x:c>
      <x:c r="B21" s="62" t="str">
        <x:v>06</x:v>
      </x:c>
      <x:c r="C21" s="62" t="str">
        <x:v>X</x:v>
      </x:c>
      <x:c r="D21" s="62" t="str">
        <x:v>2026-08-13 12:30</x:v>
      </x:c>
      <x:c r="E21" s="62" t="str">
        <x:v>America/Anchorage</x:v>
      </x:c>
      <x:c r="F21" s="62" t="str">
        <x:v>READY_FOR_OWNER_REVIEW</x:v>
      </x:c>
      <x:c r="G21" s="120" t="str">
        <x:v>PENDING</x:v>
      </x:c>
      <x:c r="H21" s="62" t="str">
        <x:v>images-v2/x/06.jpg</x:v>
      </x:c>
      <x:c r="I21" s="62" t="str">
        <x:v>APPROVAL-PACK.md#x-post-06</x:v>
      </x:c>
      <x:c r="J21" s="116" t="b">
        <x:v>1</x:v>
      </x:c>
      <x:c r="K21" s="116" t="b">
        <x:v>0</x:v>
      </x:c>
    </x:row>
    <x:row r="22">
      <x:c r="A22" s="62" t="str">
        <x:v>AKI-07-IG</x:v>
      </x:c>
      <x:c r="B22" s="62" t="str">
        <x:v>07</x:v>
      </x:c>
      <x:c r="C22" s="62" t="str">
        <x:v>Instagram</x:v>
      </x:c>
      <x:c r="D22" s="62" t="str">
        <x:v>2026-08-14 10:00</x:v>
      </x:c>
      <x:c r="E22" s="62" t="str">
        <x:v>America/Anchorage</x:v>
      </x:c>
      <x:c r="F22" s="62" t="str">
        <x:v>READY_FOR_OWNER_REVIEW</x:v>
      </x:c>
      <x:c r="G22" s="120" t="str">
        <x:v>PENDING</x:v>
      </x:c>
      <x:c r="H22" s="62" t="str">
        <x:v>images-v2/instagram/07.jpg</x:v>
      </x:c>
      <x:c r="I22" s="62" t="str">
        <x:v>APPROVAL-PACK.md#instagram-post-07</x:v>
      </x:c>
      <x:c r="J22" s="116" t="b">
        <x:v>1</x:v>
      </x:c>
      <x:c r="K22" s="116" t="b">
        <x:v>0</x:v>
      </x:c>
    </x:row>
    <x:row r="23">
      <x:c r="A23" s="62" t="str">
        <x:v>AKI-07-FB</x:v>
      </x:c>
      <x:c r="B23" s="62" t="str">
        <x:v>07</x:v>
      </x:c>
      <x:c r="C23" s="62" t="str">
        <x:v>Facebook</x:v>
      </x:c>
      <x:c r="D23" s="62" t="str">
        <x:v>2026-08-14 10:15</x:v>
      </x:c>
      <x:c r="E23" s="62" t="str">
        <x:v>America/Anchorage</x:v>
      </x:c>
      <x:c r="F23" s="62" t="str">
        <x:v>READY_FOR_OWNER_REVIEW</x:v>
      </x:c>
      <x:c r="G23" s="120" t="str">
        <x:v>PENDING</x:v>
      </x:c>
      <x:c r="H23" s="62" t="str">
        <x:v>images-v2/facebook/07.jpg</x:v>
      </x:c>
      <x:c r="I23" s="62" t="str">
        <x:v>APPROVAL-PACK.md#facebook-post-07</x:v>
      </x:c>
      <x:c r="J23" s="116" t="b">
        <x:v>1</x:v>
      </x:c>
      <x:c r="K23" s="116" t="b">
        <x:v>0</x:v>
      </x:c>
    </x:row>
    <x:row r="24">
      <x:c r="A24" s="62" t="str">
        <x:v>AKI-07-X</x:v>
      </x:c>
      <x:c r="B24" s="62" t="str">
        <x:v>07</x:v>
      </x:c>
      <x:c r="C24" s="62" t="str">
        <x:v>X</x:v>
      </x:c>
      <x:c r="D24" s="62" t="str">
        <x:v>2026-08-14 10:30</x:v>
      </x:c>
      <x:c r="E24" s="62" t="str">
        <x:v>America/Anchorage</x:v>
      </x:c>
      <x:c r="F24" s="62" t="str">
        <x:v>READY_FOR_OWNER_REVIEW</x:v>
      </x:c>
      <x:c r="G24" s="120" t="str">
        <x:v>PENDING</x:v>
      </x:c>
      <x:c r="H24" s="62" t="str">
        <x:v>images-v2/x/07.jpg</x:v>
      </x:c>
      <x:c r="I24" s="62" t="str">
        <x:v>APPROVAL-PACK.md#x-post-07</x:v>
      </x:c>
      <x:c r="J24" s="116" t="b">
        <x:v>1</x:v>
      </x:c>
      <x:c r="K24" s="116" t="b">
        <x:v>0</x:v>
      </x:c>
    </x:row>
    <x:row r="25">
      <x:c r="A25" s="62" t="str">
        <x:v>AKI-08-IG</x:v>
      </x:c>
      <x:c r="B25" s="62" t="str">
        <x:v>08</x:v>
      </x:c>
      <x:c r="C25" s="62" t="str">
        <x:v>Instagram</x:v>
      </x:c>
      <x:c r="D25" s="62" t="str">
        <x:v>2026-08-15 10:00</x:v>
      </x:c>
      <x:c r="E25" s="62" t="str">
        <x:v>America/Anchorage</x:v>
      </x:c>
      <x:c r="F25" s="62" t="str">
        <x:v>READY_FOR_OWNER_REVIEW</x:v>
      </x:c>
      <x:c r="G25" s="120" t="str">
        <x:v>PENDING</x:v>
      </x:c>
      <x:c r="H25" s="62" t="str">
        <x:v>images-v2/instagram/08.jpg</x:v>
      </x:c>
      <x:c r="I25" s="62" t="str">
        <x:v>APPROVAL-PACK.md#instagram-post-08</x:v>
      </x:c>
      <x:c r="J25" s="116" t="b">
        <x:v>1</x:v>
      </x:c>
      <x:c r="K25" s="116" t="b">
        <x:v>0</x:v>
      </x:c>
    </x:row>
    <x:row r="26">
      <x:c r="A26" s="62" t="str">
        <x:v>AKI-08-FB</x:v>
      </x:c>
      <x:c r="B26" s="62" t="str">
        <x:v>08</x:v>
      </x:c>
      <x:c r="C26" s="62" t="str">
        <x:v>Facebook</x:v>
      </x:c>
      <x:c r="D26" s="62" t="str">
        <x:v>2026-08-15 10:15</x:v>
      </x:c>
      <x:c r="E26" s="62" t="str">
        <x:v>America/Anchorage</x:v>
      </x:c>
      <x:c r="F26" s="62" t="str">
        <x:v>READY_FOR_OWNER_REVIEW</x:v>
      </x:c>
      <x:c r="G26" s="120" t="str">
        <x:v>PENDING</x:v>
      </x:c>
      <x:c r="H26" s="62" t="str">
        <x:v>images-v2/facebook/08.jpg</x:v>
      </x:c>
      <x:c r="I26" s="62" t="str">
        <x:v>APPROVAL-PACK.md#facebook-post-08</x:v>
      </x:c>
      <x:c r="J26" s="116" t="b">
        <x:v>1</x:v>
      </x:c>
      <x:c r="K26" s="116" t="b">
        <x:v>0</x:v>
      </x:c>
    </x:row>
    <x:row r="27">
      <x:c r="A27" s="62" t="str">
        <x:v>AKI-08-X</x:v>
      </x:c>
      <x:c r="B27" s="62" t="str">
        <x:v>08</x:v>
      </x:c>
      <x:c r="C27" s="62" t="str">
        <x:v>X</x:v>
      </x:c>
      <x:c r="D27" s="62" t="str">
        <x:v>2026-08-15 10:30</x:v>
      </x:c>
      <x:c r="E27" s="62" t="str">
        <x:v>America/Anchorage</x:v>
      </x:c>
      <x:c r="F27" s="62" t="str">
        <x:v>READY_FOR_OWNER_REVIEW</x:v>
      </x:c>
      <x:c r="G27" s="120" t="str">
        <x:v>PENDING</x:v>
      </x:c>
      <x:c r="H27" s="62" t="str">
        <x:v>images-v2/x/08.jpg</x:v>
      </x:c>
      <x:c r="I27" s="62" t="str">
        <x:v>APPROVAL-PACK.md#x-post-08</x:v>
      </x:c>
      <x:c r="J27" s="116" t="b">
        <x:v>1</x:v>
      </x:c>
      <x:c r="K27" s="116" t="b">
        <x:v>0</x:v>
      </x:c>
    </x:row>
    <x:row r="28">
      <x:c r="A28" s="62" t="str">
        <x:v>AKI-09-IG</x:v>
      </x:c>
      <x:c r="B28" s="62" t="str">
        <x:v>09</x:v>
      </x:c>
      <x:c r="C28" s="62" t="str">
        <x:v>Instagram</x:v>
      </x:c>
      <x:c r="D28" s="62" t="str">
        <x:v>2026-08-15 18:00</x:v>
      </x:c>
      <x:c r="E28" s="62" t="str">
        <x:v>America/Anchorage</x:v>
      </x:c>
      <x:c r="F28" s="62" t="str">
        <x:v>READY_FOR_OWNER_REVIEW</x:v>
      </x:c>
      <x:c r="G28" s="120" t="str">
        <x:v>PENDING</x:v>
      </x:c>
      <x:c r="H28" s="62" t="str">
        <x:v>images-v2/instagram/09.jpg</x:v>
      </x:c>
      <x:c r="I28" s="62" t="str">
        <x:v>APPROVAL-PACK.md#instagram-post-09</x:v>
      </x:c>
      <x:c r="J28" s="116" t="b">
        <x:v>1</x:v>
      </x:c>
      <x:c r="K28" s="116" t="b">
        <x:v>0</x:v>
      </x:c>
    </x:row>
    <x:row r="29">
      <x:c r="A29" s="62" t="str">
        <x:v>AKI-09-FB</x:v>
      </x:c>
      <x:c r="B29" s="62" t="str">
        <x:v>09</x:v>
      </x:c>
      <x:c r="C29" s="62" t="str">
        <x:v>Facebook</x:v>
      </x:c>
      <x:c r="D29" s="62" t="str">
        <x:v>2026-08-15 18:15</x:v>
      </x:c>
      <x:c r="E29" s="62" t="str">
        <x:v>America/Anchorage</x:v>
      </x:c>
      <x:c r="F29" s="62" t="str">
        <x:v>READY_FOR_OWNER_REVIEW</x:v>
      </x:c>
      <x:c r="G29" s="120" t="str">
        <x:v>PENDING</x:v>
      </x:c>
      <x:c r="H29" s="62" t="str">
        <x:v>images-v2/facebook/09.jpg</x:v>
      </x:c>
      <x:c r="I29" s="62" t="str">
        <x:v>APPROVAL-PACK.md#facebook-post-09</x:v>
      </x:c>
      <x:c r="J29" s="116" t="b">
        <x:v>1</x:v>
      </x:c>
      <x:c r="K29" s="116" t="b">
        <x:v>0</x:v>
      </x:c>
    </x:row>
    <x:row r="30">
      <x:c r="A30" s="62" t="str">
        <x:v>AKI-09-X</x:v>
      </x:c>
      <x:c r="B30" s="62" t="str">
        <x:v>09</x:v>
      </x:c>
      <x:c r="C30" s="62" t="str">
        <x:v>X</x:v>
      </x:c>
      <x:c r="D30" s="62" t="str">
        <x:v>2026-08-15 18:30</x:v>
      </x:c>
      <x:c r="E30" s="62" t="str">
        <x:v>America/Anchorage</x:v>
      </x:c>
      <x:c r="F30" s="62" t="str">
        <x:v>READY_FOR_OWNER_REVIEW</x:v>
      </x:c>
      <x:c r="G30" s="120" t="str">
        <x:v>PENDING</x:v>
      </x:c>
      <x:c r="H30" s="62" t="str">
        <x:v>images-v2/x/09.jpg</x:v>
      </x:c>
      <x:c r="I30" s="62" t="str">
        <x:v>APPROVAL-PACK.md#x-post-09</x:v>
      </x:c>
      <x:c r="J30" s="116" t="b">
        <x:v>1</x:v>
      </x:c>
      <x:c r="K30" s="116" t="b">
        <x:v>0</x:v>
      </x:c>
    </x:row>
    <x:row r="31">
      <x:c r="A31" s="62" t="str">
        <x:v>AKI-10-IG</x:v>
      </x:c>
      <x:c r="B31" s="62" t="str">
        <x:v>10</x:v>
      </x:c>
      <x:c r="C31" s="62" t="str">
        <x:v>Instagram</x:v>
      </x:c>
      <x:c r="D31" s="62" t="str">
        <x:v>2026-08-16 11:00</x:v>
      </x:c>
      <x:c r="E31" s="62" t="str">
        <x:v>America/Anchorage</x:v>
      </x:c>
      <x:c r="F31" s="62" t="str">
        <x:v>READY_FOR_OWNER_REVIEW</x:v>
      </x:c>
      <x:c r="G31" s="120" t="str">
        <x:v>PENDING</x:v>
      </x:c>
      <x:c r="H31" s="62" t="str">
        <x:v>images-v2/instagram/10.jpg</x:v>
      </x:c>
      <x:c r="I31" s="62" t="str">
        <x:v>APPROVAL-PACK.md#instagram-post-10</x:v>
      </x:c>
      <x:c r="J31" s="116" t="b">
        <x:v>1</x:v>
      </x:c>
      <x:c r="K31" s="116" t="b">
        <x:v>0</x:v>
      </x:c>
    </x:row>
    <x:row r="32">
      <x:c r="A32" s="62" t="str">
        <x:v>AKI-10-FB</x:v>
      </x:c>
      <x:c r="B32" s="62" t="str">
        <x:v>10</x:v>
      </x:c>
      <x:c r="C32" s="62" t="str">
        <x:v>Facebook</x:v>
      </x:c>
      <x:c r="D32" s="62" t="str">
        <x:v>2026-08-16 11:15</x:v>
      </x:c>
      <x:c r="E32" s="62" t="str">
        <x:v>America/Anchorage</x:v>
      </x:c>
      <x:c r="F32" s="62" t="str">
        <x:v>READY_FOR_OWNER_REVIEW</x:v>
      </x:c>
      <x:c r="G32" s="120" t="str">
        <x:v>PENDING</x:v>
      </x:c>
      <x:c r="H32" s="62" t="str">
        <x:v>images-v2/facebook/10.jpg</x:v>
      </x:c>
      <x:c r="I32" s="62" t="str">
        <x:v>APPROVAL-PACK.md#facebook-post-10</x:v>
      </x:c>
      <x:c r="J32" s="116" t="b">
        <x:v>1</x:v>
      </x:c>
      <x:c r="K32" s="116" t="b">
        <x:v>0</x:v>
      </x:c>
    </x:row>
    <x:row r="33">
      <x:c r="A33" s="63" t="str">
        <x:v>AKI-10-X</x:v>
      </x:c>
      <x:c r="B33" s="63" t="str">
        <x:v>10</x:v>
      </x:c>
      <x:c r="C33" s="63" t="str">
        <x:v>X</x:v>
      </x:c>
      <x:c r="D33" s="63" t="str">
        <x:v>2026-08-16 11:30</x:v>
      </x:c>
      <x:c r="E33" s="63" t="str">
        <x:v>America/Anchorage</x:v>
      </x:c>
      <x:c r="F33" s="63" t="str">
        <x:v>READY_FOR_OWNER_REVIEW</x:v>
      </x:c>
      <x:c r="G33" s="120" t="str">
        <x:v>PENDING</x:v>
      </x:c>
      <x:c r="H33" s="63" t="str">
        <x:v>images-v2/x/10.jpg</x:v>
      </x:c>
      <x:c r="I33" s="63" t="str">
        <x:v>APPROVAL-PACK.md#x-post-10</x:v>
      </x:c>
      <x:c r="J33" s="117" t="b">
        <x:v>1</x:v>
      </x:c>
      <x:c r="K33" s="117" t="b">
        <x:v>0</x:v>
      </x:c>
    </x:row>
  </x:sheetData>
  <x:mergeCells>
    <x:mergeCell ref="A1:K1"/>
    <x:mergeCell ref="A2:K2"/>
  </x:mergeCells>
  <x:conditionalFormatting sqref="G4:G33">
    <x:cfRule type="containsText" dxfId="0" priority="1" operator="containsText" text="APPROVE"/>
    <x:cfRule type="containsText" dxfId="1" priority="2" operator="containsText" text="DENY"/>
    <x:cfRule type="containsText" dxfId="2" priority="3" operator="containsText" text="REVISE"/>
  </x:conditionalFormatting>
  <x:conditionalFormatting sqref="F4:F33">
    <x:cfRule type="containsText" dxfId="3" priority="4" operator="containsText" text="READY_FOR_OWNER_REVIEW"/>
  </x:conditionalFormatting>
  <x:dataValidations count="1">
    <x:dataValidation type="list" sqref="G4:G33">
      <x:formula1>"PENDING,APPROVE,DENY,REVISE"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73011bc9994e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4" hidden="0" customWidth="1"/>
    <x:col min="3" max="3" width="25" hidden="0" customWidth="1"/>
    <x:col min="4" max="4" width="25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8" hidden="0" customWidth="1"/>
    <x:col min="10" max="10" width="14" hidden="0" customWidth="1"/>
  </x:cols>
  <x:sheetData>
    <x:row r="1" ht="34" customHeight="1">
      <x:c r="A1" s="4" t="str">
        <x:v>Initial Experiment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8" customHeight="1">
      <x:c r="A2" s="8" t="str">
        <x:v>Minimums are operating rules for this launch, not universal benchmarks. No experiment is live before publishing begins.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 ht="30" customHeight="1">
      <x:c r="A3" s="17" t="str">
        <x:v>ID</x:v>
      </x:c>
      <x:c r="B3" s="44" t="str">
        <x:v>Hypothesis</x:v>
      </x:c>
      <x:c r="C3" s="44" t="str">
        <x:v>Primary variable</x:v>
      </x:c>
      <x:c r="D3" s="44" t="str">
        <x:v>Primary metric</x:v>
      </x:c>
      <x:c r="E3" s="44" t="str">
        <x:v>Minimum useful sample</x:v>
      </x:c>
      <x:c r="F3" s="44" t="str">
        <x:v>Scale rule</x:v>
      </x:c>
      <x:c r="G3" s="44" t="str">
        <x:v>Revise rule</x:v>
      </x:c>
      <x:c r="H3" s="44" t="str">
        <x:v>Stop rule</x:v>
      </x:c>
      <x:c r="I3" s="44" t="str">
        <x:v>Learning if it fails</x:v>
      </x:c>
      <x:c r="J3" s="18" t="str">
        <x:v>State</x:v>
      </x:c>
    </x:row>
    <x:row r="4" ht="86" customHeight="1">
      <x:c r="A4" s="121" t="str">
        <x:v>AKI-E01</x:v>
      </x:c>
      <x:c r="B4" s="121" t="str">
        <x:v>A face-led cover converts more qualified viewers into profile visits than a process-led cover.</x:v>
      </x:c>
      <x:c r="C4" s="121" t="str">
        <x:v>Cover subject</x:v>
      </x:c>
      <x:c r="D4" s="121" t="str">
        <x:v>Profile visits / 1,000 qualified views</x:v>
      </x:c>
      <x:c r="E4" s="121" t="str">
        <x:v>One matched pair per platform, then replicate</x:v>
      </x:c>
      <x:c r="F4" s="121" t="str">
        <x:v>Two repeatable wins</x:v>
      </x:c>
      <x:c r="G4" s="121" t="str">
        <x:v>Hold drops or one guardrail worsens</x:v>
      </x:c>
      <x:c r="H4" s="121" t="str">
        <x:v>Two failed replications or trust concern</x:v>
      </x:c>
      <x:c r="I4" s="121" t="str">
        <x:v>The lesson/process may be stronger than Akiko's face.</x:v>
      </x:c>
      <x:c r="J4" s="122" t="str">
        <x:v>PROPOSED</x:v>
      </x:c>
    </x:row>
    <x:row r="5" ht="86" customHeight="1">
      <x:c r="A5" s="123" t="str">
        <x:v>AKI-E02</x:v>
      </x:c>
      <x:c r="B5" s="123" t="str">
        <x:v>A concrete brewing problem earns more saves than a definition-led hook.</x:v>
      </x:c>
      <x:c r="C5" s="123" t="str">
        <x:v>Hook type</x:v>
      </x:c>
      <x:c r="D5" s="123" t="str">
        <x:v>Saves / 1,000 qualified views</x:v>
      </x:c>
      <x:c r="E5" s="123" t="str">
        <x:v>Three matched pairs</x:v>
      </x:c>
      <x:c r="F5" s="123" t="str">
        <x:v>Median win without negative feedback</x:v>
      </x:c>
      <x:c r="G5" s="123" t="str">
        <x:v>Promising saves but weak completion</x:v>
      </x:c>
      <x:c r="H5" s="123" t="str">
        <x:v>Two failed replications</x:v>
      </x:c>
      <x:c r="I5" s="123" t="str">
        <x:v>The audience may prefer foundational vocabulary, or the problem is too generic.</x:v>
      </x:c>
      <x:c r="J5" s="122" t="str">
        <x:v>PROPOSED</x:v>
      </x:c>
    </x:row>
    <x:row r="6" ht="86" customHeight="1">
      <x:c r="A6" s="123" t="str">
        <x:v>AKI-E03</x:v>
      </x:c>
      <x:c r="B6" s="123" t="str">
        <x:v>A visible source card increases saving on claim-check posts.</x:v>
      </x:c>
      <x:c r="C6" s="123" t="str">
        <x:v>Source card present/absent</x:v>
      </x:c>
      <x:c r="D6" s="123" t="str">
        <x:v>Saves / 1,000 qualified views</x:v>
      </x:c>
      <x:c r="E6" s="123" t="str">
        <x:v>Two matched pairs</x:v>
      </x:c>
      <x:c r="F6" s="123" t="str">
        <x:v>Repeatable lift without completion loss</x:v>
      </x:c>
      <x:c r="G6" s="123" t="str">
        <x:v>Lift exists but card is visually dense</x:v>
      </x:c>
      <x:c r="H6" s="123" t="str">
        <x:v>No lift after two replications</x:v>
      </x:c>
      <x:c r="I6" s="123" t="str">
        <x:v>Trust may be better conveyed in caption/link, or the card is not useful enough to save.</x:v>
      </x:c>
      <x:c r="J6" s="122" t="str">
        <x:v>PROPOSED</x:v>
      </x:c>
    </x:row>
    <x:row r="7" ht="86" customHeight="1">
      <x:c r="A7" s="123" t="str">
        <x:v>AKI-E04</x:v>
      </x:c>
      <x:c r="B7" s="123" t="str">
        <x:v>On Facebook, a 220–320 word explanation creates more meaningful discussion than a 90–140 word explanation.</x:v>
      </x:c>
      <x:c r="C7" s="123" t="str">
        <x:v>Facebook caption word-count band</x:v>
      </x:c>
      <x:c r="D7" s="123" t="str">
        <x:v>Meaningful comments / 1,000 qualified views</x:v>
      </x:c>
      <x:c r="E7" s="123" t="str">
        <x:v>Four matched pairs per band</x:v>
      </x:c>
      <x:c r="F7" s="123" t="str">
        <x:v>Repeatable median winner</x:v>
      </x:c>
      <x:c r="G7" s="123" t="str">
        <x:v>Depth helps but costs too much time</x:v>
      </x:c>
      <x:c r="H7" s="123" t="str">
        <x:v>No stable difference</x:v>
      </x:c>
      <x:c r="I7" s="123" t="str">
        <x:v>Facebook readers may prefer concise utility, or topic matters more than depth.</x:v>
      </x:c>
      <x:c r="J7" s="122" t="str">
        <x:v>PROPOSED</x:v>
      </x:c>
    </x:row>
    <x:row r="8" ht="86" customHeight="1">
      <x:c r="A8" s="124" t="str">
        <x:v>AKI-E05</x:v>
      </x:c>
      <x:c r="B8" s="124" t="str">
        <x:v>A one-line brewing log converts practical utility into owned-audience growth.</x:v>
      </x:c>
      <x:c r="C8" s="124" t="str">
        <x:v>Download CTA</x:v>
      </x:c>
      <x:c r="D8" s="124" t="str">
        <x:v>Confirmed signups / landing visits</x:v>
      </x:c>
      <x:c r="E8" s="124" t="str">
        <x:v>100 tracked visits or four weeks</x:v>
      </x:c>
      <x:c r="F8" s="124" t="str">
        <x:v>Useful signups with low complaints</x:v>
      </x:c>
      <x:c r="G8" s="124" t="str">
        <x:v>Conversion exists but completion feedback is weak</x:v>
      </x:c>
      <x:c r="H8" s="124" t="str">
        <x:v>No signal or consent/trust issue</x:v>
      </x:c>
      <x:c r="I8" s="124" t="str">
        <x:v>The utility, landing page, or timing is insufficient; do not assume email itself is unwanted.</x:v>
      </x:c>
      <x:c r="J8" s="122" t="str">
        <x:v>PROPOSED</x:v>
      </x:c>
    </x:row>
  </x:sheetData>
  <x:mergeCells>
    <x:mergeCell ref="A1:J1"/>
    <x:mergeCell ref="A2:J2"/>
  </x:mergeCells>
  <x:dataValidations count="1">
    <x:dataValidation type="list" sqref="J4:J8">
      <x:formula1>"PROPOSED,APPROVED,LIVE,SCALE,REVISE,STOP"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4" customHeight="1">
      <x:c r="A1" s="4" t="str">
        <x:v>Failure-Prevention Register</x:v>
      </x:c>
      <x:c r="B1" s="4"/>
      <x:c r="C1" s="4"/>
      <x:c r="D1" s="4"/>
      <x:c r="E1" s="4"/>
      <x:c r="F1" s="4"/>
      <x:c r="G1" s="4"/>
    </x:row>
    <x:row r="2" ht="28" customHeight="1">
      <x:c r="A2" s="8" t="str">
        <x:v>Global pause means no new publishing, scheduling, automated replies, promotion, or campaign activation while investigation is open.</x:v>
      </x:c>
      <x:c r="B2" s="8"/>
      <x:c r="C2" s="8"/>
      <x:c r="D2" s="8"/>
      <x:c r="E2" s="8"/>
      <x:c r="F2" s="8"/>
      <x:c r="G2" s="8"/>
    </x:row>
    <x:row r="3" ht="30" customHeight="1">
      <x:c r="A3" s="17" t="str">
        <x:v>#</x:v>
      </x:c>
      <x:c r="B3" s="44" t="str">
        <x:v>Failure mode</x:v>
      </x:c>
      <x:c r="C3" s="44" t="str">
        <x:v>Early warning</x:v>
      </x:c>
      <x:c r="D3" s="44" t="str">
        <x:v>Preventive control</x:v>
      </x:c>
      <x:c r="E3" s="44" t="str">
        <x:v>Approval</x:v>
      </x:c>
      <x:c r="F3" s="44" t="str">
        <x:v>Pause threshold</x:v>
      </x:c>
      <x:c r="G3" s="18" t="str">
        <x:v>Recovery</x:v>
      </x:c>
    </x:row>
    <x:row r="4" ht="68" customHeight="1">
      <x:c r="A4" s="121" t="n">
        <x:v>1</x:v>
      </x:c>
      <x:c r="B4" s="121" t="str">
        <x:v>Fake engagement or pods</x:v>
      </x:c>
      <x:c r="C4" s="121" t="str">
        <x:v>Unexplained spikes; repetitive comments; wrong geography</x:v>
      </x:c>
      <x:c r="D4" s="121" t="str">
        <x:v>No buying/trading engagement; vendor audit</x:v>
      </x:c>
      <x:c r="E4" s="121" t="str">
        <x:v>Owner for every growth vendor</x:v>
      </x:c>
      <x:c r="F4" s="121" t="str">
        <x:v>Any purchased or organized fake activity</x:v>
      </x:c>
      <x:c r="G4" s="121" t="str">
        <x:v>Stop vendor; revoke access; rebuild from organic baseline</x:v>
      </x:c>
    </x:row>
    <x:row r="5" ht="68" customHeight="1">
      <x:c r="A5" s="123" t="n">
        <x:v>2</x:v>
      </x:c>
      <x:c r="B5" s="123" t="str">
        <x:v>Engagement bait or spam</x:v>
      </x:c>
      <x:c r="C5" s="123" t="str">
        <x:v>Forced tagging; bulk replies; falling comment quality</x:v>
      </x:c>
      <x:c r="D5" s="123" t="str">
        <x:v>Utility CTAs; no follow/unfollow or bulk DMs</x:v>
      </x:c>
      <x:c r="E5" s="123" t="str">
        <x:v>Owner for new acquisition mechanics</x:v>
      </x:c>
      <x:c r="F5" s="123" t="str">
        <x:v>One deceptive mechanic live</x:v>
      </x:c>
      <x:c r="G5" s="123" t="str">
        <x:v>Remove; correct; document rule</x:v>
      </x:c>
    </x:row>
    <x:row r="6" ht="68" customHeight="1">
      <x:c r="A6" s="123" t="n">
        <x:v>3</x:v>
      </x:c>
      <x:c r="B6" s="123" t="str">
        <x:v>Copied or unlicensed media</x:v>
      </x:c>
      <x:c r="C6" s="123" t="str">
        <x:v>Copyright notice; unknown source; watermark</x:v>
      </x:c>
      <x:c r="D6" s="123" t="str">
        <x:v>Source/license ledger; original exports</x:v>
      </x:c>
      <x:c r="E6" s="123" t="str">
        <x:v>Rights check before publish</x:v>
      </x:c>
      <x:c r="F6" s="123" t="str">
        <x:v>Any unresolved claim</x:v>
      </x:c>
      <x:c r="G6" s="123" t="str">
        <x:v>Pause asset; contact owner; replace</x:v>
      </x:c>
    </x:row>
    <x:row r="7" ht="68" customHeight="1">
      <x:c r="A7" s="123" t="n">
        <x:v>4</x:v>
      </x:c>
      <x:c r="B7" s="123" t="str">
        <x:v>Interchangeable AI content</x:v>
      </x:c>
      <x:c r="C7" s="123" t="str">
        <x:v>Face drift; duplicates; falling return behavior</x:v>
      </x:c>
      <x:c r="D7" s="123" t="str">
        <x:v>Canon lock; human edit; provenance</x:v>
      </x:c>
      <x:c r="E7" s="123" t="str">
        <x:v>Every post at launch</x:v>
      </x:c>
      <x:c r="F7" s="123" t="str">
        <x:v>Two inconsistent or near-duplicate posts/week</x:v>
      </x:c>
      <x:c r="G7" s="123" t="str">
        <x:v>Pause batch; refresh QA; regenerate selectively</x:v>
      </x:c>
    </x:row>
    <x:row r="8" ht="68" customHeight="1">
      <x:c r="A8" s="123" t="n">
        <x:v>5</x:v>
      </x:c>
      <x:c r="B8" s="123" t="str">
        <x:v>Misleading AI identity</x:v>
      </x:c>
      <x:c r="C8" s="123" t="str">
        <x:v>Audience believes Akiko is real; missing labels</x:v>
      </x:c>
      <x:c r="D8" s="123" t="str">
        <x:v>Bio and post disclosure; no lived claims</x:v>
      </x:c>
      <x:c r="E8" s="123" t="str">
        <x:v>Owner identity approval</x:v>
      </x:c>
      <x:c r="F8" s="123" t="str">
        <x:v>One material deceptive claim</x:v>
      </x:c>
      <x:c r="G8" s="123" t="str">
        <x:v>Correct visibly; audit profiles/archive</x:v>
      </x:c>
    </x:row>
    <x:row r="9" ht="68" customHeight="1">
      <x:c r="A9" s="123" t="n">
        <x:v>6</x:v>
      </x:c>
      <x:c r="B9" s="123" t="str">
        <x:v>Unsupported health/product claims</x:v>
      </x:c>
      <x:c r="C9" s="123" t="str">
        <x:v>Detox/cure language; adverse report</x:v>
      </x:c>
      <x:c r="D9" s="123" t="str">
        <x:v>Claim matrix; primary sources; escalation</x:v>
      </x:c>
      <x:c r="E9" s="123" t="str">
        <x:v>Owner plus specialist</x:v>
      </x:c>
      <x:c r="F9" s="123" t="str">
        <x:v>Any personalized advice or credible safety complaint</x:v>
      </x:c>
      <x:c r="G9" s="123" t="str">
        <x:v>Pause topic/product; correct; seek review</x:v>
      </x:c>
    </x:row>
    <x:row r="10" ht="68" customHeight="1">
      <x:c r="A10" s="123" t="n">
        <x:v>7</x:v>
      </x:c>
      <x:c r="B10" s="123" t="str">
        <x:v>Audience mismatch/raw views</x:v>
      </x:c>
      <x:c r="C10" s="123" t="str">
        <x:v>Views rise while follows/saves/returns fall</x:v>
      </x:c>
      <x:c r="D10" s="123" t="str">
        <x:v>Qualified metrics and series continuation</x:v>
      </x:c>
      <x:c r="E10" s="123" t="str">
        <x:v>Owner for pillar changes</x:v>
      </x:c>
      <x:c r="F10" s="123" t="str">
        <x:v>Two 7-day periods of worsening quality</x:v>
      </x:c>
      <x:c r="G10" s="123" t="str">
        <x:v>Stop format; diagnose source; restore wedge</x:v>
      </x:c>
    </x:row>
    <x:row r="11" ht="68" customHeight="1">
      <x:c r="A11" s="123" t="n">
        <x:v>8</x:v>
      </x:c>
      <x:c r="B11" s="123" t="str">
        <x:v>Brand inconsistency/cultural cosplay</x:v>
      </x:c>
      <x:c r="C11" s="123" t="str">
        <x:v>Conflicting canon; costume-first; cultural concern</x:v>
      </x:c>
      <x:c r="D11" s="123" t="str">
        <x:v>Voice/visual canon; cultural sourcing</x:v>
      </x:c>
      <x:c r="E11" s="123" t="str">
        <x:v>Owner for canon changes</x:v>
      </x:c>
      <x:c r="F11" s="123" t="str">
        <x:v>One public contradiction or credible concern</x:v>
      </x:c>
      <x:c r="G11" s="123" t="str">
        <x:v>Pause; consult; correct and document</x:v>
      </x:c>
    </x:row>
    <x:row r="12" ht="68" customHeight="1">
      <x:c r="A12" s="123" t="n">
        <x:v>9</x:v>
      </x:c>
      <x:c r="B12" s="123" t="str">
        <x:v>Unsafe automation/duplicates</x:v>
      </x:c>
      <x:c r="C12" s="123" t="str">
        <x:v>Wrong account; duplicate ID; unsent audit</x:v>
      </x:c>
      <x:c r="D12" s="123" t="str">
        <x:v>Approval queue; idempotency; caps; global pause</x:v>
      </x:c>
      <x:c r="E12" s="123" t="str">
        <x:v>No L3 until verified</x:v>
      </x:c>
      <x:c r="F12" s="123" t="str">
        <x:v>Any unauthorized external action</x:v>
      </x:c>
      <x:c r="G12" s="123" t="str">
        <x:v>Pause; reconcile provider state; incident review</x:v>
      </x:c>
    </x:row>
    <x:row r="13" ht="68" customHeight="1">
      <x:c r="A13" s="123" t="n">
        <x:v>10</x:v>
      </x:c>
      <x:c r="B13" s="123" t="str">
        <x:v>Disclosure failure</x:v>
      </x:c>
      <x:c r="C13" s="123" t="str">
        <x:v>Missing label; unclear commission; confusion</x:v>
      </x:c>
      <x:c r="D13" s="123" t="str">
        <x:v>Embedded disclosure checklist</x:v>
      </x:c>
      <x:c r="E13" s="123" t="str">
        <x:v>Owner and campaign</x:v>
      </x:c>
      <x:c r="F13" s="123" t="str">
        <x:v>Any live undisclosed consideration</x:v>
      </x:c>
      <x:c r="G13" s="123" t="str">
        <x:v>Pause; correct prominently; notify as required</x:v>
      </x:c>
    </x:row>
    <x:row r="14" ht="68" customHeight="1">
      <x:c r="A14" s="123" t="n">
        <x:v>11</x:v>
      </x:c>
      <x:c r="B14" s="123" t="str">
        <x:v>Burnout</x:v>
      </x:c>
      <x:c r="C14" s="123" t="str">
        <x:v>Rushed QA; repeat ideas; rising hours</x:v>
      </x:c>
      <x:c r="D14" s="123" t="str">
        <x:v>Weekly cap; reserve; rest option</x:v>
      </x:c>
      <x:c r="E14" s="123" t="str">
        <x:v>Owner for cap increase</x:v>
      </x:c>
      <x:c r="F14" s="123" t="str">
        <x:v>Two weeks above cap or fatigue error</x:v>
      </x:c>
      <x:c r="G14" s="123" t="str">
        <x:v>Reduce cadence; use reserve; reset</x:v>
      </x:c>
    </x:row>
    <x:row r="15" ht="68" customHeight="1">
      <x:c r="A15" s="123" t="n">
        <x:v>12</x:v>
      </x:c>
      <x:c r="B15" s="123" t="str">
        <x:v>Reputation crisis</x:v>
      </x:c>
      <x:c r="C15" s="123" t="str">
        <x:v>Coordinated mentions; threats; spreading misquote</x:v>
      </x:c>
      <x:c r="D15" s="123" t="str">
        <x:v>Single spokesperson; evidence capture</x:v>
      </x:c>
      <x:c r="E15" s="123" t="str">
        <x:v>Owner for crisis replies</x:v>
      </x:c>
      <x:c r="F15" s="123" t="str">
        <x:v>Threat, rapid harm, or partner safety issue</x:v>
      </x:c>
      <x:c r="G15" s="123" t="str">
        <x:v>Global pause; assess; sourced response; postmortem</x:v>
      </x:c>
    </x:row>
    <x:row r="16" ht="68" customHeight="1">
      <x:c r="A16" s="123" t="n">
        <x:v>13</x:v>
      </x:c>
      <x:c r="B16" s="123" t="str">
        <x:v>Policy/recommendation loss</x:v>
      </x:c>
      <x:c r="C16" s="123" t="str">
        <x:v>Account warning; reach collapse; restriction</x:v>
      </x:c>
      <x:c r="D16" s="123" t="str">
        <x:v>Weekly account-health checks</x:v>
      </x:c>
      <x:c r="E16" s="123" t="str">
        <x:v>Owner for appeals</x:v>
      </x:c>
      <x:c r="F16" s="123" t="str">
        <x:v>Any restriction or ineligibility</x:v>
      </x:c>
      <x:c r="G16" s="123" t="str">
        <x:v>Pause similar content; official appeal</x:v>
      </x:c>
    </x:row>
    <x:row r="17" ht="68" customHeight="1">
      <x:c r="A17" s="123" t="n">
        <x:v>14</x:v>
      </x:c>
      <x:c r="B17" s="123" t="str">
        <x:v>Single-platform dependence</x:v>
      </x:c>
      <x:c r="C17" s="123" t="str">
        <x:v>&gt;80% qualified audience or revenue in one channel</x:v>
      </x:c>
      <x:c r="D17" s="123" t="str">
        <x:v>Native multi-platform plus owned audience</x:v>
      </x:c>
      <x:c r="E17" s="123" t="str">
        <x:v>Owner for channel retirement</x:v>
      </x:c>
      <x:c r="F17" s="123" t="str">
        <x:v>Access/reach loss threatens continuity</x:v>
      </x:c>
      <x:c r="G17" s="123" t="str">
        <x:v>Shift reserve; notify owned audience</x:v>
      </x:c>
    </x:row>
    <x:row r="18" ht="68" customHeight="1">
      <x:c r="A18" s="123" t="n">
        <x:v>15</x:v>
      </x:c>
      <x:c r="B18" s="123" t="str">
        <x:v>Privacy/impersonation/compromise</x:v>
      </x:c>
      <x:c r="C18" s="123" t="str">
        <x:v>Unknown login; fake account; leaked data</x:v>
      </x:c>
      <x:c r="D18" s="123" t="str">
        <x:v>Least privilege; 2FA; privacy ledger</x:v>
      </x:c>
      <x:c r="E18" s="123" t="str">
        <x:v>Owner for access/recovery</x:v>
      </x:c>
      <x:c r="F18" s="123" t="str">
        <x:v>Any credible compromise or doxxing</x:v>
      </x:c>
      <x:c r="G18" s="123" t="str">
        <x:v>Global pause; recover; rotate; warn if needed</x:v>
      </x:c>
    </x:row>
    <x:row r="19" ht="68" customHeight="1">
      <x:c r="A19" s="124" t="n">
        <x:v>16</x:v>
      </x:c>
      <x:c r="B19" s="124" t="str">
        <x:v>Founder/Brother Kāruṇya/persona collision</x:v>
      </x:c>
      <x:c r="C19" s="124" t="str">
        <x:v>Unclear speaker; founder history in Akiko's first person; blurred cross-posts</x:v>
      </x:c>
      <x:c r="D19" s="124" t="str">
        <x:v>Separate bios, source labels, account map, canon ledger</x:v>
      </x:c>
      <x:c r="E19" s="124" t="str">
        <x:v>Owner for stories/collabs</x:v>
      </x:c>
      <x:c r="F19" s="124" t="str">
        <x:v>One lived-experience misattribution</x:v>
      </x:c>
      <x:c r="G19" s="124" t="str">
        <x:v>Pause; correct attribution; separate profiles and archive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44" hidden="0" customWidth="1"/>
  </x:cols>
  <x:sheetData>
    <x:row r="1" ht="34" customHeight="1">
      <x:c r="A1" s="4" t="str">
        <x:v>Forecast and Reforecast Reference</x:v>
      </x:c>
      <x:c r="B1" s="4"/>
      <x:c r="C1" s="4"/>
      <x:c r="D1" s="4"/>
    </x:row>
    <x:row r="2" ht="28" customHeight="1">
      <x:c r="A2" s="8" t="str">
        <x:v>Stretch values are diagnostic lines, not promises. Scenario bands are planning sensitivities, not industry benchmarks.</x:v>
      </x:c>
      <x:c r="B2" s="8"/>
      <x:c r="C2" s="8"/>
      <x:c r="D2" s="8"/>
    </x:row>
    <x:row r="3" ht="30" customHeight="1">
      <x:c r="A3" s="17" t="str">
        <x:v>Milestone</x:v>
      </x:c>
      <x:c r="B3" s="44" t="str">
        <x:v>Linear date</x:v>
      </x:c>
      <x:c r="C3" s="44" t="str">
        <x:v>Stretch total</x:v>
      </x:c>
      <x:c r="D3" s="18" t="str">
        <x:v>Meaning</x:v>
      </x:c>
    </x:row>
    <x:row r="4">
      <x:c r="A4" s="61" t="str">
        <x:v>10K</x:v>
      </x:c>
      <x:c r="B4" s="72" t="n">
        <x:v>46244.5</x:v>
      </x:c>
      <x:c r="C4" s="97" t="n">
        <x:v>10000</x:v>
      </x:c>
      <x:c r="D4" s="61" t="str">
        <x:v>Arrives before sound validation can finish</x:v>
      </x:c>
    </x:row>
    <x:row r="5">
      <x:c r="A5" s="62" t="str">
        <x:v>100K</x:v>
      </x:c>
      <x:c r="B5" s="73" t="n">
        <x:v>46257.5</x:v>
      </x:c>
      <x:c r="C5" s="95" t="n">
        <x:v>100000</x:v>
      </x:c>
      <x:c r="D5" s="62" t="str">
        <x:v>Requires immediate acceleration</x:v>
      </x:c>
    </x:row>
    <x:row r="6">
      <x:c r="A6" s="62" t="str">
        <x:v>250K</x:v>
      </x:c>
      <x:c r="B6" s="73" t="n">
        <x:v>46279.5</x:v>
      </x:c>
      <x:c r="C6" s="95" t="n">
        <x:v>250000</x:v>
      </x:c>
      <x:c r="D6" s="62" t="str">
        <x:v>Breakout distribution required</x:v>
      </x:c>
    </x:row>
    <x:row r="7">
      <x:c r="A7" s="62" t="str">
        <x:v>500K</x:v>
      </x:c>
      <x:c r="B7" s="73" t="n">
        <x:v>46315.5</x:v>
      </x:c>
      <x:c r="C7" s="95" t="n">
        <x:v>500000</x:v>
      </x:c>
      <x:c r="D7" s="62" t="str">
        <x:v>Sustained major winners required</x:v>
      </x:c>
    </x:row>
    <x:row r="8">
      <x:c r="A8" s="63" t="str">
        <x:v>1M</x:v>
      </x:c>
      <x:c r="B8" s="74" t="n">
        <x:v>46387.5</x:v>
      </x:c>
      <x:c r="C8" s="96" t="n">
        <x:v>1000000</x:v>
      </x:c>
      <x:c r="D8" s="63" t="str">
        <x:v>Stretch reference</x:v>
      </x:c>
    </x:row>
    <x:row r="10" ht="30" customHeight="1">
      <x:c r="A10" s="17" t="str">
        <x:v>Scenario</x:v>
      </x:c>
      <x:c r="B10" s="44" t="str">
        <x:v>Qualified views</x:v>
      </x:c>
      <x:c r="C10" s="44" t="str">
        <x:v>Follow conversion</x:v>
      </x:c>
      <x:c r="D10" s="18" t="str">
        <x:v>Implied net followers</x:v>
      </x:c>
    </x:row>
    <x:row r="11">
      <x:c r="A11" s="61" t="str">
        <x:v>Conservative learning</x:v>
      </x:c>
      <x:c r="B11" s="61" t="str">
        <x:v>0.5M–2M</x:v>
      </x:c>
      <x:c r="C11" s="61" t="str">
        <x:v>1–3 / 1,000</x:v>
      </x:c>
      <x:c r="D11" s="61" t="str">
        <x:v>500–6,000</x:v>
      </x:c>
    </x:row>
    <x:row r="12">
      <x:c r="A12" s="62" t="str">
        <x:v>Strong emerging brand</x:v>
      </x:c>
      <x:c r="B12" s="62" t="str">
        <x:v>5M–20M</x:v>
      </x:c>
      <x:c r="C12" s="62" t="str">
        <x:v>3–6 / 1,000</x:v>
      </x:c>
      <x:c r="D12" s="62" t="str">
        <x:v>15,000–120,000</x:v>
      </x:c>
    </x:row>
    <x:row r="13">
      <x:c r="A13" s="63" t="str">
        <x:v>Breakout system</x:v>
      </x:c>
      <x:c r="B13" s="63" t="str">
        <x:v>50M–200M</x:v>
      </x:c>
      <x:c r="C13" s="63" t="str">
        <x:v>5–10 / 1,000</x:v>
      </x:c>
      <x:c r="D13" s="63" t="str">
        <x:v>250,000–2,000,000</x:v>
      </x:c>
    </x:row>
    <x:row r="15" ht="30" customHeight="1">
      <x:c r="A15" s="17" t="str">
        <x:v>Checkpoint day</x:v>
      </x:c>
      <x:c r="B15" s="44" t="str">
        <x:v>Date</x:v>
      </x:c>
      <x:c r="C15" s="18" t="str">
        <x:v>Linear stretch total</x:v>
      </x:c>
    </x:row>
    <x:row r="16">
      <x:c r="A16" s="61" t="n">
        <x:v>7</x:v>
      </x:c>
      <x:c r="B16" s="72" t="n">
        <x:f>'Dashboard'!$B$5+A16-1</x:f>
        <x:v>46249.5</x:v>
      </x:c>
      <x:c r="C16" s="97" t="n">
        <x:f>ROUND('Dashboard'!$B$6+'Dashboard'!$B$8*A16/'Dashboard'!$B$9,0)</x:f>
        <x:v>48280</x:v>
      </x:c>
    </x:row>
    <x:row r="17">
      <x:c r="A17" s="62" t="n">
        <x:v>14</x:v>
      </x:c>
      <x:c r="B17" s="73" t="n">
        <x:f>'Dashboard'!$B$5+A17-1</x:f>
        <x:v>46256.5</x:v>
      </x:c>
      <x:c r="C17" s="95" t="n">
        <x:f>ROUND('Dashboard'!$B$6+'Dashboard'!$B$8*A17/'Dashboard'!$B$9,0)</x:f>
        <x:v>96555</x:v>
      </x:c>
    </x:row>
    <x:row r="18">
      <x:c r="A18" s="62" t="n">
        <x:v>28</x:v>
      </x:c>
      <x:c r="B18" s="73" t="n">
        <x:f>'Dashboard'!$B$5+A18-1</x:f>
        <x:v>46270.5</x:v>
      </x:c>
      <x:c r="C18" s="95" t="n">
        <x:f>ROUND('Dashboard'!$B$6+'Dashboard'!$B$8*A18/'Dashboard'!$B$9,0)</x:f>
        <x:v>193107</x:v>
      </x:c>
    </x:row>
    <x:row r="19">
      <x:c r="A19" s="62" t="n">
        <x:v>30</x:v>
      </x:c>
      <x:c r="B19" s="73" t="n">
        <x:f>'Dashboard'!$B$5+A19-1</x:f>
        <x:v>46272.5</x:v>
      </x:c>
      <x:c r="C19" s="95" t="n">
        <x:f>ROUND('Dashboard'!$B$6+'Dashboard'!$B$8*A19/'Dashboard'!$B$9,0)</x:f>
        <x:v>206900</x:v>
      </x:c>
    </x:row>
    <x:row r="20">
      <x:c r="A20" s="62" t="n">
        <x:v>60</x:v>
      </x:c>
      <x:c r="B20" s="73" t="n">
        <x:f>'Dashboard'!$B$5+A20-1</x:f>
        <x:v>46302.5</x:v>
      </x:c>
      <x:c r="C20" s="95" t="n">
        <x:f>ROUND('Dashboard'!$B$6+'Dashboard'!$B$8*A20/'Dashboard'!$B$9,0)</x:f>
        <x:v>413795</x:v>
      </x:c>
    </x:row>
    <x:row r="21">
      <x:c r="A21" s="62" t="n">
        <x:v>90</x:v>
      </x:c>
      <x:c r="B21" s="73" t="n">
        <x:f>'Dashboard'!$B$5+A21-1</x:f>
        <x:v>46332.5</x:v>
      </x:c>
      <x:c r="C21" s="95" t="n">
        <x:f>ROUND('Dashboard'!$B$6+'Dashboard'!$B$8*A21/'Dashboard'!$B$9,0)</x:f>
        <x:v>620691</x:v>
      </x:c>
    </x:row>
    <x:row r="22">
      <x:c r="A22" s="63" t="n">
        <x:v>145</x:v>
      </x:c>
      <x:c r="B22" s="74" t="n">
        <x:f>'Dashboard'!$B$5+A22-1</x:f>
        <x:v>46387.5</x:v>
      </x:c>
      <x:c r="C22" s="96" t="n">
        <x:f>ROUND('Dashboard'!$B$6+'Dashboard'!$B$8*A22/'Dashboard'!$B$9,0)</x:f>
        <x:v>1000000</x:v>
      </x:c>
    </x:row>
    <x:row r="24">
      <x:c r="A24" s="66" t="str">
        <x:v>Weekly reforecast: update verified follower totals, seven- and 28-day medians, qualified views, follows per 1,000, production time, and remaining runway. Classify the stretch as on mathematical line, requires acceleration, or no longer evidence-supported.</x:v>
      </x:c>
      <x:c r="B24" s="66"/>
      <x:c r="C24" s="66"/>
      <x:c r="D24" s="66"/>
    </x:row>
    <x:row r="25">
      <x:c r="A25" s="66"/>
      <x:c r="B25" s="66"/>
      <x:c r="C25" s="66"/>
      <x:c r="D25" s="66"/>
    </x:row>
  </x:sheetData>
  <x:mergeCells>
    <x:mergeCell ref="A1:D1"/>
    <x:mergeCell ref="A2:D2"/>
    <x:mergeCell ref="A24:D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34" hidden="0" customWidth="1"/>
    <x:col min="4" max="4" width="16" hidden="0" customWidth="1"/>
    <x:col min="5" max="5" width="30" hidden="0" customWidth="1"/>
    <x:col min="6" max="6" width="30" hidden="0" customWidth="1"/>
  </x:cols>
  <x:sheetData>
    <x:row r="1" ht="34" customHeight="1">
      <x:c r="A1" s="4" t="str">
        <x:v>Approve / Deny / Revise Queue</x:v>
      </x:c>
      <x:c r="B1" s="4"/>
      <x:c r="C1" s="4"/>
      <x:c r="D1" s="4"/>
      <x:c r="E1" s="4"/>
      <x:c r="F1" s="4"/>
    </x:row>
    <x:row r="2" ht="28" customHeight="1">
      <x:c r="A2" s="8" t="str">
        <x:v>Complete this sheet or the matching markdown checklist. Approval does not authorize scheduling or publishing.</x:v>
      </x:c>
      <x:c r="B2" s="8"/>
      <x:c r="C2" s="8"/>
      <x:c r="D2" s="8"/>
      <x:c r="E2" s="8"/>
      <x:c r="F2" s="8"/>
    </x:row>
    <x:row r="3" ht="30" customHeight="1">
      <x:c r="A3" s="17" t="str">
        <x:v>ID</x:v>
      </x:c>
      <x:c r="B3" s="44" t="str">
        <x:v>Decision</x:v>
      </x:c>
      <x:c r="C3" s="44" t="str">
        <x:v>Recommended default</x:v>
      </x:c>
      <x:c r="D3" s="44" t="str">
        <x:v>Owner choice</x:v>
      </x:c>
      <x:c r="E3" s="44" t="str">
        <x:v>Why it matters</x:v>
      </x:c>
      <x:c r="F3" s="18" t="str">
        <x:v>Blocks</x:v>
      </x:c>
    </x:row>
    <x:row r="4" ht="58" customHeight="1">
      <x:c r="A4" s="121" t="str">
        <x:v>D01</x:v>
      </x:c>
      <x:c r="B4" s="121" t="str">
        <x:v>Pronunciation and she/her pronouns</x:v>
      </x:c>
      <x:c r="C4" s="121" t="str">
        <x:v>AH-kee-koh; she/her</x:v>
      </x:c>
      <x:c r="D4" s="122" t="str">
        <x:v>PENDING</x:v>
      </x:c>
      <x:c r="E4" s="121" t="str">
        <x:v>Public consistency</x:v>
      </x:c>
      <x:c r="F4" s="121" t="str">
        <x:v>Profile and copy finalization</x:v>
      </x:c>
    </x:row>
    <x:row r="5" ht="58" customHeight="1">
      <x:c r="A5" s="123" t="str">
        <x:v>D02</x:v>
      </x:c>
      <x:c r="B5" s="123" t="str">
        <x:v>Fictional AI host model</x:v>
      </x:c>
      <x:c r="C5" s="123" t="str">
        <x:v>Approve with plain disclosure</x:v>
      </x:c>
      <x:c r="D5" s="122" t="str">
        <x:v>PENDING</x:v>
      </x:c>
      <x:c r="E5" s="123" t="str">
        <x:v>Truth and platform compliance</x:v>
      </x:c>
      <x:c r="F5" s="123" t="str">
        <x:v>All launch posts</x:v>
      </x:c>
    </x:row>
    <x:row r="6" ht="58" customHeight="1">
      <x:c r="A6" s="123" t="str">
        <x:v>D03</x:v>
      </x:c>
      <x:c r="B6" s="123" t="str">
        <x:v>V2 master likeness</x:v>
      </x:c>
      <x:c r="C6" s="123" t="str">
        <x:v>Approve or give specific revision</x:v>
      </x:c>
      <x:c r="D6" s="122" t="str">
        <x:v>PENDING</x:v>
      </x:c>
      <x:c r="E6" s="123" t="str">
        <x:v>Identity lock</x:v>
      </x:c>
      <x:c r="F6" s="123" t="str">
        <x:v>All derivative approval</x:v>
      </x:c>
    </x:row>
    <x:row r="7" ht="58" customHeight="1">
      <x:c r="A7" s="123" t="str">
        <x:v>D04</x:v>
      </x:c>
      <x:c r="B7" s="123" t="str">
        <x:v>30 v2 derivatives</x:v>
      </x:c>
      <x:c r="C7" s="123" t="str">
        <x:v>Review contact sheet and exceptions</x:v>
      </x:c>
      <x:c r="D7" s="122" t="str">
        <x:v>PENDING</x:v>
      </x:c>
      <x:c r="E7" s="123" t="str">
        <x:v>Final visual approval</x:v>
      </x:c>
      <x:c r="F7" s="123" t="str">
        <x:v>Queue approval</x:v>
      </x:c>
    </x:row>
    <x:row r="8" ht="58" customHeight="1">
      <x:c r="A8" s="123" t="str">
        <x:v>D05</x:v>
      </x:c>
      <x:c r="B8" s="123" t="str">
        <x:v>Concepts 02–10 wardrobe/world</x:v>
      </x:c>
      <x:c r="C8" s="123" t="str">
        <x:v>Approve current or request modern-neutral test</x:v>
      </x:c>
      <x:c r="D8" s="122" t="str">
        <x:v>PENDING</x:v>
      </x:c>
      <x:c r="E8" s="123" t="str">
        <x:v>Cultural and brand framing</x:v>
      </x:c>
      <x:c r="F8" s="123" t="str">
        <x:v>Derivative approval</x:v>
      </x:c>
    </x:row>
    <x:row r="9" ht="58" customHeight="1">
      <x:c r="A9" s="123" t="str">
        <x:v>D06</x:v>
      </x:c>
      <x:c r="B9" s="123" t="str">
        <x:v>Public Castleborn connection</x:v>
      </x:c>
      <x:c r="C9" s="123" t="str">
        <x:v>Keep private during launch</x:v>
      </x:c>
      <x:c r="D9" s="122" t="str">
        <x:v>PENDING</x:v>
      </x:c>
      <x:c r="E9" s="123" t="str">
        <x:v>Brand focus and canon control</x:v>
      </x:c>
      <x:c r="F9" s="123" t="str">
        <x:v>Bio/lore decisions</x:v>
      </x:c>
    </x:row>
    <x:row r="10" ht="58" customHeight="1">
      <x:c r="A10" s="123" t="str">
        <x:v>D07</x:v>
      </x:c>
      <x:c r="B10" s="123" t="str">
        <x:v>Profile names, bios, and links</x:v>
      </x:c>
      <x:c r="C10" s="123" t="str">
        <x:v>Use proposed Being Tea Co. | Akiko system</x:v>
      </x:c>
      <x:c r="D10" s="122" t="str">
        <x:v>PENDING</x:v>
      </x:c>
      <x:c r="E10" s="123" t="str">
        <x:v>Conversion and disclosure</x:v>
      </x:c>
      <x:c r="F10" s="123" t="str">
        <x:v>Account-side profile edits</x:v>
      </x:c>
    </x:row>
    <x:row r="11" ht="58" customHeight="1">
      <x:c r="A11" s="123" t="str">
        <x:v>D08</x:v>
      </x:c>
      <x:c r="B11" s="123" t="str">
        <x:v>Release order and test windows</x:v>
      </x:c>
      <x:c r="C11" s="123" t="str">
        <x:v>Preserve order; shift after approval</x:v>
      </x:c>
      <x:c r="D11" s="122" t="str">
        <x:v>PENDING</x:v>
      </x:c>
      <x:c r="E11" s="123" t="str">
        <x:v>Clean learning sequence</x:v>
      </x:c>
      <x:c r="F11" s="123" t="str">
        <x:v>Scheduling</x:v>
      </x:c>
    </x:row>
    <x:row r="12" ht="58" customHeight="1">
      <x:c r="A12" s="123" t="str">
        <x:v>D09</x:v>
      </x:c>
      <x:c r="B12" s="123" t="str">
        <x:v>Comment/DM and crisis owner</x:v>
      </x:c>
      <x:c r="C12" s="123" t="str">
        <x:v>Owner review; name global-pause owner</x:v>
      </x:c>
      <x:c r="D12" s="122" t="str">
        <x:v>PENDING</x:v>
      </x:c>
      <x:c r="E12" s="123" t="str">
        <x:v>Safety and response capacity</x:v>
      </x:c>
      <x:c r="F12" s="123" t="str">
        <x:v>Community launch</x:v>
      </x:c>
    </x:row>
    <x:row r="13" ht="58" customHeight="1">
      <x:c r="A13" s="123" t="str">
        <x:v>D10</x:v>
      </x:c>
      <x:c r="B13" s="123" t="str">
        <x:v>Sponsored-content cap</x:v>
      </x:c>
      <x:c r="C13" s="123" t="str">
        <x:v>15% rolling 28 days</x:v>
      </x:c>
      <x:c r="D13" s="122" t="str">
        <x:v>PENDING</x:v>
      </x:c>
      <x:c r="E13" s="123" t="str">
        <x:v>Trust protection</x:v>
      </x:c>
      <x:c r="F13" s="123" t="str">
        <x:v>Commercial policy</x:v>
      </x:c>
    </x:row>
    <x:row r="14" ht="58" customHeight="1">
      <x:c r="A14" s="124" t="str">
        <x:v>D11</x:v>
      </x:c>
      <x:c r="B14" s="124" t="str">
        <x:v>Separate external action</x:v>
      </x:c>
      <x:c r="C14" s="124" t="str">
        <x:v>Do not issue until access is fixed</x:v>
      </x:c>
      <x:c r="D14" s="122" t="str">
        <x:v>PENDING</x:v>
      </x:c>
      <x:c r="E14" s="124" t="str">
        <x:v>Authorization boundary</x:v>
      </x:c>
      <x:c r="F14" s="124" t="str">
        <x:v>Any scheduling/publishing</x:v>
      </x:c>
    </x:row>
  </x:sheetData>
  <x:mergeCells>
    <x:mergeCell ref="A1:F1"/>
    <x:mergeCell ref="A2:F2"/>
  </x:mergeCells>
  <x:conditionalFormatting sqref="D4:D14">
    <x:cfRule type="containsText" dxfId="4" priority="1" operator="containsText" text="APPROVE"/>
    <x:cfRule type="containsText" dxfId="5" priority="2" operator="containsText" text="DENY"/>
    <x:cfRule type="containsText" dxfId="6" priority="3" operator="containsText" text="REVISE"/>
  </x:conditionalFormatting>
  <x:dataValidations count="1">
    <x:dataValidation type="list" sqref="D4:D14">
      <x:formula1>"PENDING,APPROVE,DENY,REVISE"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76" hidden="0" customWidth="1"/>
    <x:col min="4" max="4" width="36" hidden="0" customWidth="1"/>
  </x:cols>
  <x:sheetData>
    <x:row r="1" ht="34" customHeight="1">
      <x:c r="A1" s="4" t="str">
        <x:v>Source and Definition Register</x:v>
      </x:c>
      <x:c r="B1" s="4"/>
      <x:c r="C1" s="4"/>
      <x:c r="D1" s="4"/>
    </x:row>
    <x:row r="2" ht="28" customHeight="1">
      <x:c r="A2" s="8" t="str">
        <x:v>Official platform pages are rechecked before upload. Plain URLs are retained for auditability.</x:v>
      </x:c>
      <x:c r="B2" s="8"/>
      <x:c r="C2" s="8"/>
      <x:c r="D2" s="8"/>
    </x:row>
    <x:row r="3" ht="30" customHeight="1">
      <x:c r="A3" s="17" t="str">
        <x:v>Area</x:v>
      </x:c>
      <x:c r="B3" s="44" t="str">
        <x:v>Source</x:v>
      </x:c>
      <x:c r="C3" s="44" t="str">
        <x:v>URL / file</x:v>
      </x:c>
      <x:c r="D3" s="18" t="str">
        <x:v>Use</x:v>
      </x:c>
    </x:row>
    <x:row r="4">
      <x:c r="A4" s="121" t="str">
        <x:v>Instagram</x:v>
      </x:c>
      <x:c r="B4" s="121" t="str">
        <x:v>Recommendation eligibility</x:v>
      </x:c>
      <x:c r="C4" s="121" t="str">
        <x:v>https://www.facebook.com/help/instagram/653964212890722</x:v>
      </x:c>
      <x:c r="D4" s="121" t="str">
        <x:v>Account health and recommendation checks</x:v>
      </x:c>
    </x:row>
    <x:row r="5">
      <x:c r="A5" s="123" t="str">
        <x:v>Instagram</x:v>
      </x:c>
      <x:c r="B5" s="123" t="str">
        <x:v>Account Status</x:v>
      </x:c>
      <x:c r="C5" s="123" t="str">
        <x:v>https://www.facebook.com/help/instagram/338481628002750/</x:v>
      </x:c>
      <x:c r="D5" s="123" t="str">
        <x:v>Restriction and removal review</x:v>
      </x:c>
    </x:row>
    <x:row r="6">
      <x:c r="A6" s="123" t="str">
        <x:v>Instagram</x:v>
      </x:c>
      <x:c r="B6" s="123" t="str">
        <x:v>Photo dimensions</x:v>
      </x:c>
      <x:c r="C6" s="123" t="str">
        <x:v>https://www.facebook.com/help/1631821640426723/</x:v>
      </x:c>
      <x:c r="D6" s="123" t="str">
        <x:v>1080-wide and supported ratios</x:v>
      </x:c>
    </x:row>
    <x:row r="7">
      <x:c r="A7" s="123" t="str">
        <x:v>Meta</x:v>
      </x:c>
      <x:c r="B7" s="123" t="str">
        <x:v>AI-generated content labels</x:v>
      </x:c>
      <x:c r="C7" s="123" t="str">
        <x:v>https://about.fb.com/news/2024/04/metas-approach-to-labeling-ai-generated-content-and-manipulated-media/</x:v>
      </x:c>
      <x:c r="D7" s="123" t="str">
        <x:v>Synthetic-media disclosure</x:v>
      </x:c>
    </x:row>
    <x:row r="8">
      <x:c r="A8" s="123" t="str">
        <x:v>Facebook</x:v>
      </x:c>
      <x:c r="B8" s="123" t="str">
        <x:v>Original creator priority</x:v>
      </x:c>
      <x:c r="C8" s="123" t="str">
        <x:v>https://about.fb.com/news/2026/03/rewarding-original-creators-on-facebook/</x:v>
      </x:c>
      <x:c r="D8" s="123" t="str">
        <x:v>Originality and distribution</x:v>
      </x:c>
    </x:row>
    <x:row r="9">
      <x:c r="A9" s="123" t="str">
        <x:v>Facebook</x:v>
      </x:c>
      <x:c r="B9" s="123" t="str">
        <x:v>Account Status</x:v>
      </x:c>
      <x:c r="C9" s="123" t="str">
        <x:v>https://www.facebook.com/help/1392616391875085</x:v>
      </x:c>
      <x:c r="D9" s="123" t="str">
        <x:v>Page/account health</x:v>
      </x:c>
    </x:row>
    <x:row r="10">
      <x:c r="A10" s="123" t="str">
        <x:v>X</x:v>
      </x:c>
      <x:c r="B10" s="123" t="str">
        <x:v>Posting images</x:v>
      </x:c>
      <x:c r="C10" s="123" t="str">
        <x:v>https://help.x.com/en/using-x/posting-gifs-and-pictures</x:v>
      </x:c>
      <x:c r="D10" s="123" t="str">
        <x:v>Image formats and limits</x:v>
      </x:c>
    </x:row>
    <x:row r="11">
      <x:c r="A11" s="123" t="str">
        <x:v>X</x:v>
      </x:c>
      <x:c r="B11" s="123" t="str">
        <x:v>Authenticity</x:v>
      </x:c>
      <x:c r="C11" s="123" t="str">
        <x:v>https://help.x.com/en/rules-and-policies/authenticity</x:v>
      </x:c>
      <x:c r="D11" s="123" t="str">
        <x:v>Spam, fake persona, and deception rules</x:v>
      </x:c>
    </x:row>
    <x:row r="12">
      <x:c r="A12" s="123" t="str">
        <x:v>X</x:v>
      </x:c>
      <x:c r="B12" s="123" t="str">
        <x:v>Automation</x:v>
      </x:c>
      <x:c r="C12" s="123" t="str">
        <x:v>https://help.x.com/en/rules-and-policies/x-automation</x:v>
      </x:c>
      <x:c r="D12" s="123" t="str">
        <x:v>Official automation boundaries</x:v>
      </x:c>
    </x:row>
    <x:row r="13">
      <x:c r="A13" s="123" t="str">
        <x:v>Brand</x:v>
      </x:c>
      <x:c r="B13" s="123" t="str">
        <x:v>Being Tea Co.</x:v>
      </x:c>
      <x:c r="C13" s="123" t="str">
        <x:v>https://beingteaco.com/</x:v>
      </x:c>
      <x:c r="D13" s="123" t="str">
        <x:v>Owner-controlled primary site</x:v>
      </x:c>
    </x:row>
    <x:row r="14">
      <x:c r="A14" s="123" t="str">
        <x:v>Education</x:v>
      </x:c>
      <x:c r="B14" s="123" t="str">
        <x:v>Kew tea plant</x:v>
      </x:c>
      <x:c r="C14" s="123" t="str">
        <x:v>https://www.kew.org/plants/tea-plant</x:v>
      </x:c>
      <x:c r="D14" s="123" t="str">
        <x:v>Camellia sinensis fundamentals</x:v>
      </x:c>
    </x:row>
    <x:row r="15">
      <x:c r="A15" s="123" t="str">
        <x:v>Education</x:v>
      </x:c>
      <x:c r="B15" s="123" t="str">
        <x:v>UNESCO tea practices</x:v>
      </x:c>
      <x:c r="C15" s="123" t="str">
        <x:v>https://ich.unesco.org/en/RL/traditional-tea-processing-techniques-and-associated-social-practices-in-china-01884</x:v>
      </x:c>
      <x:c r="D15" s="123" t="str">
        <x:v>Cultural attribution</x:v>
      </x:c>
    </x:row>
    <x:row r="16">
      <x:c r="A16" s="123" t="str">
        <x:v>Package</x:v>
      </x:c>
      <x:c r="B16" s="123" t="str">
        <x:v>Full roadmap</x:v>
      </x:c>
      <x:c r="C16" s="123" t="str">
        <x:v>FULL-ROADMAP-2026-08-09.md</x:v>
      </x:c>
      <x:c r="D16" s="123" t="str">
        <x:v>Strategy and stretch math</x:v>
      </x:c>
    </x:row>
    <x:row r="17">
      <x:c r="A17" s="123" t="str">
        <x:v>Package</x:v>
      </x:c>
      <x:c r="B17" s="123" t="str">
        <x:v>Measurement system</x:v>
      </x:c>
      <x:c r="C17" s="123" t="str">
        <x:v>MEASUREMENT-COMMUNITY-MONETIZATION-RISK-2026-08-09.md</x:v>
      </x:c>
      <x:c r="D17" s="123" t="str">
        <x:v>Metric definitions and controls</x:v>
      </x:c>
    </x:row>
    <x:row r="18">
      <x:c r="A18" s="124" t="str">
        <x:v>Package</x:v>
      </x:c>
      <x:c r="B18" s="124" t="str">
        <x:v>Approval pack</x:v>
      </x:c>
      <x:c r="C18" s="124" t="str">
        <x:v>APPROVAL-PACK.md</x:v>
      </x:c>
      <x:c r="D18" s="124" t="str">
        <x:v>Thirty captions, alt text, and decisions</x:v>
      </x:c>
    </x:row>
  </x:sheetData>
  <x:mergeCells>
    <x:mergeCell ref="A1:D1"/>
    <x:mergeCell ref="A2:D2"/>
  </x:mergeCells>
  <x:pageMargins left="0.7" right="0.7" top="0.75" bottom="0.75" header="0.3" footer="0.3"/>
</x:worksheet>
</file>